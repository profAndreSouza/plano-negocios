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xr:revisionPtr revIDLastSave="0" documentId="8_{13BCAD1E-442E-48F8-B08F-DF01AF8B9BDB}" xr6:coauthVersionLast="47" xr6:coauthVersionMax="47" xr10:uidLastSave="{00000000-0000-0000-0000-000000000000}"/>
  <bookViews>
    <workbookView xWindow="0" yWindow="0" windowWidth="11940" windowHeight="5280" xr2:uid="{00000000-000D-0000-FFFF-FFFF00000000}"/>
  </bookViews>
  <sheets>
    <sheet name="Menu" sheetId="13" r:id="rId1"/>
    <sheet name="5.1" sheetId="6" r:id="rId2"/>
    <sheet name="5.2" sheetId="7" r:id="rId3"/>
    <sheet name="5.3" sheetId="4" r:id="rId4"/>
    <sheet name="5.4" sheetId="5" r:id="rId5"/>
    <sheet name="5.5" sheetId="8" r:id="rId6"/>
    <sheet name="5.6" sheetId="9" r:id="rId7"/>
    <sheet name="5.7" sheetId="10" r:id="rId8"/>
    <sheet name="5.8" sheetId="11" r:id="rId9"/>
    <sheet name="5.9" sheetId="12" r:id="rId10"/>
    <sheet name="5.10" sheetId="14" r:id="rId11"/>
    <sheet name="5.11" sheetId="15" r:id="rId12"/>
    <sheet name="5.12" sheetId="16" r:id="rId13"/>
    <sheet name="5.13" sheetId="17" r:id="rId14"/>
    <sheet name="6.0" sheetId="18" r:id="rId15"/>
  </sheets>
  <definedNames>
    <definedName name="_Toc55818592" localSheetId="0">Menu!$C$5</definedName>
    <definedName name="_Toc55849021" localSheetId="13">'5.13'!$C$22</definedName>
    <definedName name="_Toc55849022" localSheetId="13">'5.13'!$C$29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8" l="1"/>
  <c r="D10" i="18"/>
  <c r="D11" i="18"/>
  <c r="D12" i="18"/>
  <c r="F4" i="14"/>
  <c r="G5" i="12"/>
  <c r="G6" i="12"/>
  <c r="G7" i="12"/>
  <c r="H7" i="12" s="1"/>
  <c r="G8" i="12"/>
  <c r="G9" i="12"/>
  <c r="G10" i="12"/>
  <c r="G11" i="12"/>
  <c r="G12" i="12"/>
  <c r="G13" i="12"/>
  <c r="H5" i="12"/>
  <c r="H6" i="12"/>
  <c r="H8" i="12"/>
  <c r="H9" i="12"/>
  <c r="H10" i="12"/>
  <c r="H11" i="12"/>
  <c r="H12" i="12"/>
  <c r="H13" i="12"/>
  <c r="F6" i="11"/>
  <c r="F7" i="11"/>
  <c r="F8" i="11"/>
  <c r="F9" i="11"/>
  <c r="F10" i="11"/>
  <c r="E15" i="10"/>
  <c r="F17" i="9"/>
  <c r="F18" i="9"/>
  <c r="F19" i="9"/>
  <c r="F20" i="9"/>
  <c r="F21" i="9"/>
  <c r="F16" i="9"/>
  <c r="F22" i="9" s="1"/>
  <c r="F6" i="9"/>
  <c r="F7" i="9"/>
  <c r="F8" i="9"/>
  <c r="F9" i="9"/>
  <c r="F10" i="9"/>
  <c r="F5" i="9"/>
  <c r="F11" i="9" s="1"/>
  <c r="F5" i="8"/>
  <c r="F6" i="8"/>
  <c r="F7" i="8"/>
  <c r="F8" i="8"/>
  <c r="F9" i="8"/>
  <c r="F10" i="8"/>
  <c r="F4" i="8"/>
  <c r="F33" i="6"/>
  <c r="F7" i="6"/>
  <c r="F8" i="6"/>
  <c r="F9" i="6"/>
  <c r="F10" i="6"/>
  <c r="F11" i="6"/>
  <c r="F17" i="6"/>
  <c r="F18" i="6"/>
  <c r="F19" i="6"/>
  <c r="F20" i="6"/>
  <c r="F21" i="6"/>
  <c r="F22" i="6"/>
  <c r="F16" i="6"/>
  <c r="F23" i="6" s="1"/>
  <c r="F5" i="14"/>
  <c r="G5" i="14" s="1"/>
  <c r="F6" i="14"/>
  <c r="G6" i="14" s="1"/>
  <c r="F7" i="14"/>
  <c r="G7" i="14" s="1"/>
  <c r="F8" i="14"/>
  <c r="G8" i="14" s="1"/>
  <c r="F9" i="14"/>
  <c r="G9" i="14" s="1"/>
  <c r="F10" i="14"/>
  <c r="G10" i="14" s="1"/>
  <c r="F11" i="14"/>
  <c r="G11" i="14" s="1"/>
  <c r="F12" i="14"/>
  <c r="G12" i="14"/>
  <c r="F13" i="14"/>
  <c r="G13" i="14" s="1"/>
  <c r="F14" i="14"/>
  <c r="G14" i="14" s="1"/>
  <c r="F15" i="14"/>
  <c r="G15" i="14"/>
  <c r="F16" i="14"/>
  <c r="G16" i="14" s="1"/>
  <c r="G4" i="12"/>
  <c r="H4" i="12" s="1"/>
  <c r="E4" i="11"/>
  <c r="F4" i="11" s="1"/>
  <c r="F17" i="14" l="1"/>
  <c r="G4" i="14"/>
  <c r="G17" i="14" s="1"/>
  <c r="C19" i="15" s="1"/>
  <c r="H14" i="12"/>
  <c r="C13" i="15" s="1"/>
  <c r="C21" i="15" s="1"/>
  <c r="E5" i="11"/>
  <c r="F5" i="11" s="1"/>
  <c r="F11" i="11" s="1"/>
  <c r="C6" i="16"/>
  <c r="F11" i="8"/>
  <c r="C13" i="5"/>
  <c r="C9" i="4"/>
  <c r="C6" i="5" s="1"/>
  <c r="F36" i="7"/>
  <c r="F25" i="7"/>
  <c r="F24" i="7"/>
  <c r="F23" i="7"/>
  <c r="F22" i="7"/>
  <c r="F17" i="7"/>
  <c r="F16" i="7"/>
  <c r="F15" i="7"/>
  <c r="F14" i="7"/>
  <c r="F8" i="7"/>
  <c r="F7" i="7"/>
  <c r="F6" i="7"/>
  <c r="F5" i="7"/>
  <c r="F6" i="6"/>
  <c r="F12" i="6" s="1"/>
  <c r="F35" i="6" s="1"/>
  <c r="D19" i="10" l="1"/>
  <c r="E19" i="10" s="1"/>
  <c r="E20" i="10" s="1"/>
  <c r="E21" i="10" s="1"/>
  <c r="D6" i="10"/>
  <c r="C7" i="18"/>
  <c r="F47" i="7"/>
  <c r="C11" i="16"/>
  <c r="C4" i="16"/>
  <c r="C5" i="18" s="1"/>
  <c r="C4" i="5"/>
  <c r="F26" i="7"/>
  <c r="F40" i="7" s="1"/>
  <c r="F41" i="7" s="1"/>
  <c r="F9" i="7"/>
  <c r="F56" i="7" s="1"/>
  <c r="F18" i="7"/>
  <c r="F35" i="7" s="1"/>
  <c r="F37" i="7" s="1"/>
  <c r="F43" i="7" s="1"/>
  <c r="F51" i="7" s="1"/>
  <c r="C12" i="18" l="1"/>
  <c r="C8" i="16"/>
  <c r="C7" i="16"/>
  <c r="C8" i="18" l="1"/>
  <c r="C9" i="18"/>
  <c r="C9" i="16"/>
  <c r="C10" i="16" l="1"/>
  <c r="C10" i="18"/>
  <c r="D6" i="16"/>
  <c r="D7" i="18" s="1"/>
  <c r="D7" i="16"/>
  <c r="D8" i="18" s="1"/>
  <c r="D8" i="16"/>
  <c r="D9" i="18" s="1"/>
  <c r="F48" i="7"/>
  <c r="F49" i="7" s="1"/>
  <c r="F50" i="7" s="1"/>
  <c r="F52" i="7" s="1"/>
  <c r="F57" i="7" s="1"/>
  <c r="F58" i="7" s="1"/>
  <c r="C5" i="5" s="1"/>
  <c r="C12" i="16" l="1"/>
  <c r="C11" i="18"/>
  <c r="E11" i="17"/>
  <c r="E12" i="17" s="1"/>
  <c r="C7" i="5"/>
  <c r="G34" i="17" s="1"/>
  <c r="C13" i="18" l="1"/>
  <c r="E26" i="17"/>
  <c r="E19" i="17"/>
  <c r="D12" i="16"/>
  <c r="D13" i="18" s="1"/>
  <c r="D11" i="5"/>
  <c r="D12" i="5"/>
  <c r="D10" i="5"/>
  <c r="D4" i="5"/>
  <c r="D6" i="5"/>
  <c r="D13" i="5"/>
  <c r="D5" i="5"/>
  <c r="D35" i="17"/>
  <c r="D13" i="17"/>
  <c r="D20" i="17"/>
  <c r="D27" i="17"/>
</calcChain>
</file>

<file path=xl/sharedStrings.xml><?xml version="1.0" encoding="utf-8"?>
<sst xmlns="http://schemas.openxmlformats.org/spreadsheetml/2006/main" count="276" uniqueCount="206">
  <si>
    <t>Planilha</t>
  </si>
  <si>
    <t>Descrição</t>
  </si>
  <si>
    <t>5.1</t>
  </si>
  <si>
    <t>Investimento Total</t>
  </si>
  <si>
    <t>5.2</t>
  </si>
  <si>
    <t>Capital de Giro</t>
  </si>
  <si>
    <t>5.3</t>
  </si>
  <si>
    <t>Investimentos Pré-operacionais</t>
  </si>
  <si>
    <t>5.4</t>
  </si>
  <si>
    <t>Investimento Total (Consolidado)</t>
  </si>
  <si>
    <t>5.5</t>
  </si>
  <si>
    <t>Estimativa de Faturamento Mensal</t>
  </si>
  <si>
    <t>5.6</t>
  </si>
  <si>
    <t>Estimativa do Custo Unitário de Matéria-Prima, Materiais Diretos e Terceirizações</t>
  </si>
  <si>
    <t>5.7</t>
  </si>
  <si>
    <t>Estimativa dos Custos de Comercialização</t>
  </si>
  <si>
    <t>5.8</t>
  </si>
  <si>
    <t>Apuração dos Custos dos Materiais Diretos</t>
  </si>
  <si>
    <t>5.9</t>
  </si>
  <si>
    <t>Estimativa dos Custos com Mão de Obra</t>
  </si>
  <si>
    <t>5.10</t>
  </si>
  <si>
    <t>Estimativa do Custo com Depreciação</t>
  </si>
  <si>
    <t>5.11</t>
  </si>
  <si>
    <t>Estimativa dos Custos Fixos Operacionais Mensais</t>
  </si>
  <si>
    <t>5.12</t>
  </si>
  <si>
    <t>Demonstrativo de Resultados</t>
  </si>
  <si>
    <t>5.13</t>
  </si>
  <si>
    <t>Indicadores de Viabilidade</t>
  </si>
  <si>
    <t>6.0</t>
  </si>
  <si>
    <t>Construções de Cenários</t>
  </si>
  <si>
    <t>5.1. Investimento total - Estimativa dos investimentos fixos</t>
  </si>
  <si>
    <t>1.</t>
  </si>
  <si>
    <t>Máquinas e equipamentos</t>
  </si>
  <si>
    <t>Qtde.</t>
  </si>
  <si>
    <t>Valor Unitário</t>
  </si>
  <si>
    <t>Total</t>
  </si>
  <si>
    <t>SubTotal</t>
  </si>
  <si>
    <t>2.</t>
  </si>
  <si>
    <t>Móveis e Utensílios</t>
  </si>
  <si>
    <t>3.</t>
  </si>
  <si>
    <t>Veículos (Meios de Transporte)</t>
  </si>
  <si>
    <t>Total Geral</t>
  </si>
  <si>
    <t>5.2 Capital de "Giro"</t>
  </si>
  <si>
    <t>A - Estimativa do estoque inicial (MP e Insumos)</t>
  </si>
  <si>
    <t>Valor Total</t>
  </si>
  <si>
    <t>B - Caixa Mínimo</t>
  </si>
  <si>
    <t>1. Formas de Pagamento oferecer?</t>
  </si>
  <si>
    <t>Prazo médio das vendas (receita)</t>
  </si>
  <si>
    <t>(%)</t>
  </si>
  <si>
    <t>Número dias</t>
  </si>
  <si>
    <t>Média Ponderada</t>
  </si>
  <si>
    <t>A Vista</t>
  </si>
  <si>
    <t>Crédito (30 dias)</t>
  </si>
  <si>
    <t>Crédito (60 dias)</t>
  </si>
  <si>
    <t>Faturado</t>
  </si>
  <si>
    <t>Prazo Médio</t>
  </si>
  <si>
    <t>2. Prazo médio pagamento</t>
  </si>
  <si>
    <t>Crédito ( 60 dias)</t>
  </si>
  <si>
    <t>3. Necessidade média de Estoques</t>
  </si>
  <si>
    <t>Número de Dias</t>
  </si>
  <si>
    <t>Necessidade média de estoques</t>
  </si>
  <si>
    <t>4. Cálculo da necessidade líquida de capital de giro em dias</t>
  </si>
  <si>
    <t>Recursos fora do seu caixa</t>
  </si>
  <si>
    <t>1. Contas a receber - prazo médio vendas</t>
  </si>
  <si>
    <t>2. Estoques</t>
  </si>
  <si>
    <t>Subtotal</t>
  </si>
  <si>
    <t>Recursos de terceiros no caixa da empresa</t>
  </si>
  <si>
    <t>3. Fornecedores - prazo médio compras</t>
  </si>
  <si>
    <t>Necessidade Líquida</t>
  </si>
  <si>
    <t>1. Custo Fixo Mensal (Despesas Fixas Mensais)</t>
  </si>
  <si>
    <t>2. Custo Variável Mensal</t>
  </si>
  <si>
    <t>3. Custo total da empresa</t>
  </si>
  <si>
    <t>4. Custo total diário</t>
  </si>
  <si>
    <t>5. Necessidade Líquida de Capital de Giro em dias</t>
  </si>
  <si>
    <t>Total de Caixa mínimo</t>
  </si>
  <si>
    <t>Investimentos Financeiros</t>
  </si>
  <si>
    <t>A - Estoque Inicial</t>
  </si>
  <si>
    <t>Total dos Investimentos Financeiros</t>
  </si>
  <si>
    <t>5.3 Investimentos Pré-operacionais</t>
  </si>
  <si>
    <t>Investimentos Pré-Operacional</t>
  </si>
  <si>
    <t>R$</t>
  </si>
  <si>
    <t>Despesas de legalização</t>
  </si>
  <si>
    <t>Obras civis e/ou reformas</t>
  </si>
  <si>
    <t>Divulgação</t>
  </si>
  <si>
    <t>Cursos e Treinamentos</t>
  </si>
  <si>
    <t>Outras Despesas</t>
  </si>
  <si>
    <t>5.4 Investimento Total</t>
  </si>
  <si>
    <t>Descrição dos investimentos</t>
  </si>
  <si>
    <t>Valor (R$)</t>
  </si>
  <si>
    <t>1. Investimentos Fixos</t>
  </si>
  <si>
    <t>2. Capital de Giro</t>
  </si>
  <si>
    <t>3. Investimentos Pré-operacionais</t>
  </si>
  <si>
    <t>Fontes dos recursos</t>
  </si>
  <si>
    <t>1. Recursos Próprios</t>
  </si>
  <si>
    <t>2. Recursos de Terceiros</t>
  </si>
  <si>
    <t>3. Outros (BNDES)</t>
  </si>
  <si>
    <t>Total de Recursos</t>
  </si>
  <si>
    <t>5.5 Estimativa de Faturamento Mensal</t>
  </si>
  <si>
    <t>Qtde Mensal.</t>
  </si>
  <si>
    <t>5.6 Estimativa do Custo Unitário de Matéria-Prima, Materiais Diretos e Terceirizações</t>
  </si>
  <si>
    <t>Produto: 1</t>
  </si>
  <si>
    <t>Ingrediente</t>
  </si>
  <si>
    <t>Qtde</t>
  </si>
  <si>
    <t>Custo Total</t>
  </si>
  <si>
    <t>Produto: 2</t>
  </si>
  <si>
    <t>5.7 Estimativa dos Custos de Comercialização</t>
  </si>
  <si>
    <t>%</t>
  </si>
  <si>
    <t>Faturamento Estimado</t>
  </si>
  <si>
    <t>Custo Total (R$)</t>
  </si>
  <si>
    <t>Tributação do Simples Nacional</t>
  </si>
  <si>
    <t>1. Impostos</t>
  </si>
  <si>
    <t>Faixa</t>
  </si>
  <si>
    <t>Alíquota</t>
  </si>
  <si>
    <t>Valor a Deduzir (em R$)</t>
  </si>
  <si>
    <t>Receita Bruta anual (em R$)</t>
  </si>
  <si>
    <t>Impostos Federais</t>
  </si>
  <si>
    <t>1ª Faixa</t>
  </si>
  <si>
    <t>Até 180.000,00</t>
  </si>
  <si>
    <r>
      <t>SIMPLES</t>
    </r>
    <r>
      <rPr>
        <sz val="11"/>
        <color theme="1"/>
        <rFont val="Calibri"/>
        <family val="2"/>
        <scheme val="minor"/>
      </rPr>
      <t> </t>
    </r>
  </si>
  <si>
    <t>2ª Faixa</t>
  </si>
  <si>
    <t>De 180.000,01 a 360.000,00</t>
  </si>
  <si>
    <t>IRPJ (lucro)</t>
  </si>
  <si>
    <t>3ª Faixa</t>
  </si>
  <si>
    <t>De 360.000,01 a 720.000,00</t>
  </si>
  <si>
    <t>PIS</t>
  </si>
  <si>
    <t>4ª Faixa</t>
  </si>
  <si>
    <t>De 720.000,01 a 1.800.000,00</t>
  </si>
  <si>
    <t>COFINS</t>
  </si>
  <si>
    <t>5ª Faixa</t>
  </si>
  <si>
    <t>De 1.800.000,01 a 3.600.000,00</t>
  </si>
  <si>
    <t xml:space="preserve">CSLL </t>
  </si>
  <si>
    <t>6ª Faixa</t>
  </si>
  <si>
    <t>De 3.600.000,01 a 4.800.000,00</t>
  </si>
  <si>
    <t>Impostos Estaduais (vendas intermunicipais)</t>
  </si>
  <si>
    <t>ICMS</t>
  </si>
  <si>
    <t>Impostos Municipais (prestação de serviços)</t>
  </si>
  <si>
    <t>ISS</t>
  </si>
  <si>
    <t>Subtotal 1</t>
  </si>
  <si>
    <t>2. Gastos com vendas</t>
  </si>
  <si>
    <t>Comissões</t>
  </si>
  <si>
    <t>Propaganda</t>
  </si>
  <si>
    <t>Taxa de administração do cartão de crédito</t>
  </si>
  <si>
    <t>Subtotal 2</t>
  </si>
  <si>
    <t>TOTAL (Subtotal 1 + 2)</t>
  </si>
  <si>
    <t>5.8 Apuração dos Custos dos Materiais Diretos</t>
  </si>
  <si>
    <t>Produto</t>
  </si>
  <si>
    <t>Estimativa de Vendas (m²)</t>
  </si>
  <si>
    <t>Custo Unitário</t>
  </si>
  <si>
    <t>CMD</t>
  </si>
  <si>
    <t>5.9 Estimativa dos Custos com Mão de Obra</t>
  </si>
  <si>
    <t>Função</t>
  </si>
  <si>
    <t>Nº de Funcionários</t>
  </si>
  <si>
    <t>Salário Mensal (R$)</t>
  </si>
  <si>
    <t>Encargos sociais (%)</t>
  </si>
  <si>
    <t>Encargos sociais (R$)</t>
  </si>
  <si>
    <t>Custo Total por Funcionário (R$)</t>
  </si>
  <si>
    <t>5.10 Estimativa do Custo com Depreciação</t>
  </si>
  <si>
    <t>Vida Útil</t>
  </si>
  <si>
    <t>Depreciação anual</t>
  </si>
  <si>
    <t>Depreciação Mensal</t>
  </si>
  <si>
    <t>TOTAL</t>
  </si>
  <si>
    <t>5.11 Estimativa dos Custos Fixos Operacionais Mensais</t>
  </si>
  <si>
    <t>Custo Total Mensal (R$)</t>
  </si>
  <si>
    <t>Aluguel</t>
  </si>
  <si>
    <t>Condomínio</t>
  </si>
  <si>
    <t>IPTU</t>
  </si>
  <si>
    <t>Água</t>
  </si>
  <si>
    <t>Energia elétrica</t>
  </si>
  <si>
    <t>Telefone</t>
  </si>
  <si>
    <t>Honorários do contador</t>
  </si>
  <si>
    <r>
      <t>Pró-labore</t>
    </r>
    <r>
      <rPr>
        <sz val="8"/>
        <color theme="1"/>
        <rFont val="Arial"/>
        <family val="2"/>
      </rPr>
      <t> </t>
    </r>
  </si>
  <si>
    <t>&lt;&lt; Salário dos sócios</t>
  </si>
  <si>
    <t>Manutenção dos equipamentos</t>
  </si>
  <si>
    <t>Salários + encargos – quadro 5.9</t>
  </si>
  <si>
    <t>Material de limpeza</t>
  </si>
  <si>
    <t>Material de escritório</t>
  </si>
  <si>
    <t>Combustível</t>
  </si>
  <si>
    <t>Taxas diversas</t>
  </si>
  <si>
    <t>Serviços de terceiros</t>
  </si>
  <si>
    <t>Depreciação – quadro 5.10</t>
  </si>
  <si>
    <t>Outras despesas</t>
  </si>
  <si>
    <t>5.12 Demonstrativo de Resultados</t>
  </si>
  <si>
    <t>(R$)</t>
  </si>
  <si>
    <t xml:space="preserve"> Receita Total com Vendas</t>
  </si>
  <si>
    <t xml:space="preserve"> Custos Variáveis Totais</t>
  </si>
  <si>
    <t xml:space="preserve"> (-) Custos com materiais diretos</t>
  </si>
  <si>
    <t xml:space="preserve"> (-) Impostos sobre vendas</t>
  </si>
  <si>
    <t xml:space="preserve"> (-) Gastos com vendas</t>
  </si>
  <si>
    <t xml:space="preserve"> Subtotal de Custos Variáveis Totais</t>
  </si>
  <si>
    <t xml:space="preserve"> Margem de Contribuição</t>
  </si>
  <si>
    <t xml:space="preserve"> (-) Custos Fixos Totais</t>
  </si>
  <si>
    <t xml:space="preserve"> Resultado Operacional </t>
  </si>
  <si>
    <t>5.13 Indicadores de Viabilidade</t>
  </si>
  <si>
    <t>5.13.1 Ponto de Equilíbrio</t>
  </si>
  <si>
    <t>IMC</t>
  </si>
  <si>
    <t>PE</t>
  </si>
  <si>
    <t>5.13.2 Lucratividade</t>
  </si>
  <si>
    <t>Lucratividade</t>
  </si>
  <si>
    <t>5.13.3 Rentabilidade</t>
  </si>
  <si>
    <t>Rentabilidade</t>
  </si>
  <si>
    <t>5.13.4 Prazo de Retorno do Investimento</t>
  </si>
  <si>
    <t>Prazo de Retorno do Investimento</t>
  </si>
  <si>
    <t>6.0 Construções de Cenários</t>
  </si>
  <si>
    <t>Cenário Provável</t>
  </si>
  <si>
    <t>Cenário Pessimista</t>
  </si>
  <si>
    <t>Cenário Otimista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</si>
</sst>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231F20"/>
      <name val="Calibri"/>
      <family val="2"/>
      <scheme val="minor"/>
    </font>
    <font>
      <sz val="11"/>
      <color rgb="FF231F20"/>
      <name val="Calibri"/>
      <family val="2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0" fillId="0" borderId="1" xfId="0" applyBorder="1"/>
    <xf numFmtId="44" fontId="0" fillId="0" borderId="1" xfId="1" applyFont="1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9" fontId="0" fillId="0" borderId="1" xfId="2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5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8" fillId="0" borderId="1" xfId="1" applyFont="1" applyBorder="1" applyAlignment="1">
      <alignment horizontal="left" vertical="center"/>
    </xf>
    <xf numFmtId="164" fontId="8" fillId="0" borderId="1" xfId="2" applyNumberFormat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44" fontId="4" fillId="2" borderId="1" xfId="0" applyNumberFormat="1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8" fontId="5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8" fontId="4" fillId="6" borderId="1" xfId="0" applyNumberFormat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9" fontId="4" fillId="6" borderId="1" xfId="0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8" borderId="1" xfId="0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Fill="1" applyBorder="1"/>
    <xf numFmtId="44" fontId="0" fillId="8" borderId="1" xfId="1" applyFont="1" applyFill="1" applyBorder="1" applyAlignment="1">
      <alignment horizontal="center"/>
    </xf>
    <xf numFmtId="0" fontId="0" fillId="8" borderId="1" xfId="0" applyFill="1" applyBorder="1"/>
    <xf numFmtId="0" fontId="0" fillId="8" borderId="6" xfId="0" applyFill="1" applyBorder="1"/>
    <xf numFmtId="44" fontId="0" fillId="8" borderId="6" xfId="1" applyFont="1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44" fontId="0" fillId="8" borderId="1" xfId="1" applyFont="1" applyFill="1" applyBorder="1" applyAlignment="1">
      <alignment horizontal="center" vertical="center" wrapText="1"/>
    </xf>
    <xf numFmtId="44" fontId="0" fillId="8" borderId="1" xfId="0" applyNumberFormat="1" applyFill="1" applyBorder="1" applyAlignment="1">
      <alignment horizontal="center"/>
    </xf>
    <xf numFmtId="44" fontId="0" fillId="8" borderId="1" xfId="0" applyNumberForma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44" fontId="0" fillId="8" borderId="1" xfId="1" applyFont="1" applyFill="1" applyBorder="1" applyAlignment="1">
      <alignment horizontal="center" vertical="center"/>
    </xf>
    <xf numFmtId="44" fontId="0" fillId="8" borderId="1" xfId="0" applyNumberFormat="1" applyFill="1" applyBorder="1"/>
    <xf numFmtId="9" fontId="0" fillId="8" borderId="1" xfId="0" applyNumberForma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4" fillId="6" borderId="1" xfId="1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8" borderId="2" xfId="0" applyFill="1" applyBorder="1" applyAlignment="1"/>
    <xf numFmtId="0" fontId="0" fillId="8" borderId="4" xfId="0" applyFill="1" applyBorder="1" applyAlignment="1"/>
    <xf numFmtId="0" fontId="0" fillId="8" borderId="3" xfId="0" applyFill="1" applyBorder="1" applyAlignme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365413</xdr:colOff>
      <xdr:row>4</xdr:row>
      <xdr:rowOff>138112</xdr:rowOff>
    </xdr:from>
    <xdr:ext cx="4369786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0000000-0008-0000-0D00-000006000000}"/>
                </a:ext>
              </a:extLst>
            </xdr:cNvPr>
            <xdr:cNvSpPr txBox="1"/>
          </xdr:nvSpPr>
          <xdr:spPr>
            <a:xfrm>
              <a:off x="1144731" y="900112"/>
              <a:ext cx="4369786" cy="32143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Í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𝑛𝑑𝑖𝑐𝑒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𝑑𝑎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𝑀𝑎𝑟𝑔𝑒𝑚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𝐶𝑜𝑛𝑡𝑟𝑖𝑏𝑢𝑖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𝑜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𝐼𝑀𝐶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𝑀𝑎𝑟𝑔𝑒𝑚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𝐶𝑜𝑛𝑡𝑟𝑖𝑏𝑢𝑖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çã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𝑜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𝑅𝑒𝑐𝑒𝑖𝑡𝑎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" name="CaixaDeTexto 5"/>
            <xdr:cNvSpPr txBox="1"/>
          </xdr:nvSpPr>
          <xdr:spPr>
            <a:xfrm>
              <a:off x="1144731" y="900112"/>
              <a:ext cx="4369786" cy="32143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Í𝑛𝑑𝑖𝑐𝑒 𝑑𝑎 𝑀𝑎𝑟𝑔𝑒𝑚 𝑑𝑒 𝐶𝑜𝑛𝑡𝑟𝑖𝑏𝑢𝑖çã𝑜(𝐼𝑀𝐶)=(𝑀𝑎𝑟𝑔𝑒𝑚 𝑑𝑒 𝐶𝑜𝑛𝑡𝑟𝑖𝑏𝑢𝑖çã𝑜)/(𝑅𝑒𝑐𝑒𝑖𝑡𝑎 𝑇𝑜𝑡𝑎𝑙)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400917</xdr:colOff>
      <xdr:row>7</xdr:row>
      <xdr:rowOff>52387</xdr:rowOff>
    </xdr:from>
    <xdr:ext cx="2800317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00000000-0008-0000-0D00-000007000000}"/>
                </a:ext>
              </a:extLst>
            </xdr:cNvPr>
            <xdr:cNvSpPr txBox="1"/>
          </xdr:nvSpPr>
          <xdr:spPr>
            <a:xfrm>
              <a:off x="1180235" y="1385887"/>
              <a:ext cx="2800317" cy="32143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𝑃𝑜𝑛𝑡𝑜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𝐸𝑞𝑢𝑖𝑙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í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𝑏𝑟𝑖𝑜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𝑃𝐸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𝐶𝑢𝑠𝑡𝑜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𝐹𝑖𝑥𝑜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𝐼𝑀𝐶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7" name="CaixaDeTexto 6"/>
            <xdr:cNvSpPr txBox="1"/>
          </xdr:nvSpPr>
          <xdr:spPr>
            <a:xfrm>
              <a:off x="1180235" y="1385887"/>
              <a:ext cx="2800317" cy="32143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𝑃𝑜𝑛𝑡𝑜 𝑑𝑒 𝐸𝑞𝑢𝑖𝑙í𝑏𝑟𝑖𝑜(𝑃𝐸)=(𝐶𝑢𝑠𝑡𝑜 𝐹𝑖𝑥𝑜 𝑇𝑜𝑡𝑎𝑙)/𝐼𝑀𝐶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3</xdr:col>
      <xdr:colOff>69274</xdr:colOff>
      <xdr:row>15</xdr:row>
      <xdr:rowOff>112569</xdr:rowOff>
    </xdr:from>
    <xdr:ext cx="2023054" cy="3222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0000000-0008-0000-0D00-000008000000}"/>
                </a:ext>
              </a:extLst>
            </xdr:cNvPr>
            <xdr:cNvSpPr txBox="1"/>
          </xdr:nvSpPr>
          <xdr:spPr>
            <a:xfrm>
              <a:off x="1246910" y="2970069"/>
              <a:ext cx="2023054" cy="322268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𝐿𝑢𝑐𝑟𝑎𝑡𝑖𝑣𝑖𝑑𝑎𝑑𝑒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𝐿𝑢𝑐𝑟𝑜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𝑞𝑢𝑖𝑑𝑜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𝑅𝑒𝑐𝑒𝑖𝑡𝑎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" name="CaixaDeTexto 7"/>
            <xdr:cNvSpPr txBox="1"/>
          </xdr:nvSpPr>
          <xdr:spPr>
            <a:xfrm>
              <a:off x="1246910" y="2970069"/>
              <a:ext cx="2023054" cy="322268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𝐿𝑢𝑐𝑟𝑎𝑡𝑖𝑣𝑖𝑑𝑎𝑑𝑒 =(𝐿𝑢𝑐𝑟𝑜 𝐿í𝑞𝑢𝑖𝑑𝑜)/(𝑅𝑒𝑐𝑒𝑖𝑡𝑎 𝑇𝑜𝑡𝑎𝑙)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3</xdr:col>
      <xdr:colOff>35503</xdr:colOff>
      <xdr:row>22</xdr:row>
      <xdr:rowOff>70139</xdr:rowOff>
    </xdr:from>
    <xdr:ext cx="2369880" cy="3222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00000000-0008-0000-0D00-000009000000}"/>
                </a:ext>
              </a:extLst>
            </xdr:cNvPr>
            <xdr:cNvSpPr txBox="1"/>
          </xdr:nvSpPr>
          <xdr:spPr>
            <a:xfrm>
              <a:off x="1213139" y="4261139"/>
              <a:ext cx="2369880" cy="322268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𝑅𝑒𝑛𝑡𝑎𝑏𝑖𝑙𝑖𝑑𝑎𝑑𝑒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𝐿𝑢𝑐𝑟𝑜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í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𝑞𝑢𝑖𝑑𝑜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𝐼𝑛𝑣𝑒𝑠𝑡𝑖𝑚𝑒𝑛𝑡𝑜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" name="CaixaDeTexto 8"/>
            <xdr:cNvSpPr txBox="1"/>
          </xdr:nvSpPr>
          <xdr:spPr>
            <a:xfrm>
              <a:off x="1213139" y="4261139"/>
              <a:ext cx="2369880" cy="322268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𝑅𝑒𝑛𝑡𝑎𝑏𝑖𝑙𝑖𝑑𝑎𝑑𝑒 =(𝐿𝑢𝑐𝑟𝑜 𝐿í𝑞𝑢𝑖𝑑𝑜)/(𝐼𝑛𝑣𝑒𝑠𝑡𝑖𝑚𝑒𝑛𝑡𝑜 𝑇𝑜𝑡𝑎𝑙)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398318</xdr:colOff>
      <xdr:row>29</xdr:row>
      <xdr:rowOff>147204</xdr:rowOff>
    </xdr:from>
    <xdr:ext cx="3654590" cy="349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0000000-0008-0000-0D00-00000A000000}"/>
                </a:ext>
              </a:extLst>
            </xdr:cNvPr>
            <xdr:cNvSpPr txBox="1"/>
          </xdr:nvSpPr>
          <xdr:spPr>
            <a:xfrm>
              <a:off x="1177636" y="5862204"/>
              <a:ext cx="3654590" cy="349904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𝑃𝑟𝑎𝑧𝑜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𝑅𝑒𝑡𝑜𝑟𝑛𝑜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𝑑𝑜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𝐼𝑛𝑣𝑒𝑠𝑡𝑖𝑚𝑒𝑛𝑡𝑜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𝐼𝑛𝑣𝑒𝑠𝑡𝑖𝑚𝑒𝑛𝑡𝑜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𝑇𝑜𝑡𝑎𝑙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𝐿𝑢𝑐𝑟𝑜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í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𝑞𝑢𝑖𝑑𝑜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" name="CaixaDeTexto 9"/>
            <xdr:cNvSpPr txBox="1"/>
          </xdr:nvSpPr>
          <xdr:spPr>
            <a:xfrm>
              <a:off x="1177636" y="5862204"/>
              <a:ext cx="3654590" cy="349904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𝑃𝑟𝑎𝑧𝑜 𝑑𝑒 𝑅𝑒𝑡𝑜𝑟𝑛𝑜 𝑑𝑜 𝐼𝑛𝑣𝑒𝑠𝑡𝑖𝑚𝑒𝑛𝑡𝑜 =(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𝐼𝑛𝑣𝑒𝑠𝑡𝑖𝑚𝑒𝑛𝑡𝑜 𝑇𝑜𝑡𝑎𝑙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𝐿𝑢𝑐𝑟𝑜 𝐿í𝑞𝑢𝑖𝑑𝑜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tabSelected="1" zoomScale="190" zoomScaleNormal="190" workbookViewId="0"/>
  </sheetViews>
  <sheetFormatPr defaultRowHeight="15"/>
  <cols>
    <col min="1" max="1" width="5.28515625" customWidth="1"/>
    <col min="3" max="3" width="70.7109375" customWidth="1"/>
  </cols>
  <sheetData>
    <row r="2" spans="2:3">
      <c r="B2" s="40" t="s">
        <v>0</v>
      </c>
      <c r="C2" s="40" t="s">
        <v>1</v>
      </c>
    </row>
    <row r="3" spans="2:3">
      <c r="B3" s="39" t="s">
        <v>2</v>
      </c>
      <c r="C3" s="2" t="s">
        <v>3</v>
      </c>
    </row>
    <row r="4" spans="2:3">
      <c r="B4" s="39" t="s">
        <v>4</v>
      </c>
      <c r="C4" s="2" t="s">
        <v>5</v>
      </c>
    </row>
    <row r="5" spans="2:3">
      <c r="B5" s="39" t="s">
        <v>6</v>
      </c>
      <c r="C5" s="2" t="s">
        <v>7</v>
      </c>
    </row>
    <row r="6" spans="2:3">
      <c r="B6" s="39" t="s">
        <v>8</v>
      </c>
      <c r="C6" s="2" t="s">
        <v>9</v>
      </c>
    </row>
    <row r="7" spans="2:3">
      <c r="B7" s="39" t="s">
        <v>10</v>
      </c>
      <c r="C7" s="2" t="s">
        <v>11</v>
      </c>
    </row>
    <row r="8" spans="2:3">
      <c r="B8" s="39" t="s">
        <v>12</v>
      </c>
      <c r="C8" s="2" t="s">
        <v>13</v>
      </c>
    </row>
    <row r="9" spans="2:3">
      <c r="B9" s="39" t="s">
        <v>14</v>
      </c>
      <c r="C9" s="2" t="s">
        <v>15</v>
      </c>
    </row>
    <row r="10" spans="2:3">
      <c r="B10" s="39" t="s">
        <v>16</v>
      </c>
      <c r="C10" s="2" t="s">
        <v>17</v>
      </c>
    </row>
    <row r="11" spans="2:3">
      <c r="B11" s="39" t="s">
        <v>18</v>
      </c>
      <c r="C11" s="2" t="s">
        <v>19</v>
      </c>
    </row>
    <row r="12" spans="2:3">
      <c r="B12" s="39" t="s">
        <v>20</v>
      </c>
      <c r="C12" s="2" t="s">
        <v>21</v>
      </c>
    </row>
    <row r="13" spans="2:3">
      <c r="B13" s="39" t="s">
        <v>22</v>
      </c>
      <c r="C13" s="2" t="s">
        <v>23</v>
      </c>
    </row>
    <row r="14" spans="2:3">
      <c r="B14" s="39" t="s">
        <v>24</v>
      </c>
      <c r="C14" s="2" t="s">
        <v>25</v>
      </c>
    </row>
    <row r="15" spans="2:3">
      <c r="B15" s="39" t="s">
        <v>26</v>
      </c>
      <c r="C15" s="2" t="s">
        <v>27</v>
      </c>
    </row>
    <row r="16" spans="2:3">
      <c r="B16" s="39" t="s">
        <v>28</v>
      </c>
      <c r="C16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3"/>
  <sheetViews>
    <sheetView zoomScaleNormal="100" workbookViewId="0">
      <selection activeCell="F13" sqref="F13"/>
    </sheetView>
  </sheetViews>
  <sheetFormatPr defaultRowHeight="15"/>
  <cols>
    <col min="1" max="1" width="5.28515625" customWidth="1"/>
    <col min="2" max="2" width="4.140625" style="4" customWidth="1"/>
    <col min="3" max="3" width="24.42578125" customWidth="1"/>
    <col min="4" max="4" width="11.140625" customWidth="1"/>
    <col min="5" max="5" width="21.7109375" customWidth="1"/>
    <col min="6" max="6" width="19" customWidth="1"/>
    <col min="7" max="7" width="5.5703125" customWidth="1"/>
  </cols>
  <sheetData>
    <row r="2" spans="2:6">
      <c r="B2" t="s">
        <v>30</v>
      </c>
    </row>
    <row r="4" spans="2:6">
      <c r="B4" s="4" t="s">
        <v>31</v>
      </c>
      <c r="C4" t="s">
        <v>32</v>
      </c>
    </row>
    <row r="5" spans="2:6">
      <c r="B5" s="63"/>
      <c r="C5" s="59" t="s">
        <v>1</v>
      </c>
      <c r="D5" s="59" t="s">
        <v>33</v>
      </c>
      <c r="E5" s="59" t="s">
        <v>34</v>
      </c>
      <c r="F5" s="59" t="s">
        <v>35</v>
      </c>
    </row>
    <row r="6" spans="2:6">
      <c r="B6" s="59">
        <v>1</v>
      </c>
      <c r="C6" s="2"/>
      <c r="D6" s="39"/>
      <c r="E6" s="60"/>
      <c r="F6" s="61">
        <f>D6*E6</f>
        <v>0</v>
      </c>
    </row>
    <row r="7" spans="2:6">
      <c r="B7" s="59">
        <v>2</v>
      </c>
      <c r="C7" s="2"/>
      <c r="D7" s="39"/>
      <c r="E7" s="60"/>
      <c r="F7" s="61">
        <f t="shared" ref="F7:F11" si="0">D7*E7</f>
        <v>0</v>
      </c>
    </row>
    <row r="8" spans="2:6">
      <c r="B8" s="59">
        <v>3</v>
      </c>
      <c r="C8" s="2"/>
      <c r="D8" s="39"/>
      <c r="E8" s="60"/>
      <c r="F8" s="61">
        <f t="shared" si="0"/>
        <v>0</v>
      </c>
    </row>
    <row r="9" spans="2:6">
      <c r="B9" s="59">
        <v>4</v>
      </c>
      <c r="C9" s="2"/>
      <c r="D9" s="39"/>
      <c r="E9" s="60"/>
      <c r="F9" s="61">
        <f t="shared" si="0"/>
        <v>0</v>
      </c>
    </row>
    <row r="10" spans="2:6">
      <c r="B10" s="59">
        <v>5</v>
      </c>
      <c r="C10" s="2"/>
      <c r="D10" s="39"/>
      <c r="E10" s="60"/>
      <c r="F10" s="61">
        <f t="shared" si="0"/>
        <v>0</v>
      </c>
    </row>
    <row r="11" spans="2:6">
      <c r="B11" s="59">
        <v>6</v>
      </c>
      <c r="C11" s="2"/>
      <c r="D11" s="39"/>
      <c r="E11" s="60"/>
      <c r="F11" s="61">
        <f t="shared" si="0"/>
        <v>0</v>
      </c>
    </row>
    <row r="12" spans="2:6">
      <c r="C12" s="4"/>
      <c r="D12" s="4"/>
      <c r="E12" s="64" t="s">
        <v>36</v>
      </c>
      <c r="F12" s="65">
        <f>SUM(F6:F11)</f>
        <v>0</v>
      </c>
    </row>
    <row r="14" spans="2:6">
      <c r="B14" s="4" t="s">
        <v>37</v>
      </c>
      <c r="C14" t="s">
        <v>38</v>
      </c>
    </row>
    <row r="15" spans="2:6">
      <c r="B15" s="63"/>
      <c r="C15" s="59" t="s">
        <v>1</v>
      </c>
      <c r="D15" s="59" t="s">
        <v>33</v>
      </c>
      <c r="E15" s="59" t="s">
        <v>34</v>
      </c>
      <c r="F15" s="59" t="s">
        <v>35</v>
      </c>
    </row>
    <row r="16" spans="2:6">
      <c r="B16" s="59">
        <v>1</v>
      </c>
      <c r="C16" s="2"/>
      <c r="D16" s="39"/>
      <c r="E16" s="60"/>
      <c r="F16" s="61">
        <f>D16*E16</f>
        <v>0</v>
      </c>
    </row>
    <row r="17" spans="2:6">
      <c r="B17" s="59">
        <v>2</v>
      </c>
      <c r="C17" s="2"/>
      <c r="D17" s="39"/>
      <c r="E17" s="60"/>
      <c r="F17" s="61">
        <f t="shared" ref="F17:F22" si="1">D17*E17</f>
        <v>0</v>
      </c>
    </row>
    <row r="18" spans="2:6">
      <c r="B18" s="59">
        <v>3</v>
      </c>
      <c r="C18" s="2"/>
      <c r="D18" s="39"/>
      <c r="E18" s="60"/>
      <c r="F18" s="61">
        <f t="shared" si="1"/>
        <v>0</v>
      </c>
    </row>
    <row r="19" spans="2:6">
      <c r="B19" s="59">
        <v>4</v>
      </c>
      <c r="C19" s="2"/>
      <c r="D19" s="39"/>
      <c r="E19" s="60"/>
      <c r="F19" s="61">
        <f t="shared" si="1"/>
        <v>0</v>
      </c>
    </row>
    <row r="20" spans="2:6">
      <c r="B20" s="59">
        <v>5</v>
      </c>
      <c r="C20" s="2"/>
      <c r="D20" s="39"/>
      <c r="E20" s="60"/>
      <c r="F20" s="61">
        <f t="shared" si="1"/>
        <v>0</v>
      </c>
    </row>
    <row r="21" spans="2:6">
      <c r="B21" s="59">
        <v>6</v>
      </c>
      <c r="C21" s="2"/>
      <c r="D21" s="39"/>
      <c r="E21" s="60"/>
      <c r="F21" s="61">
        <f t="shared" si="1"/>
        <v>0</v>
      </c>
    </row>
    <row r="22" spans="2:6">
      <c r="B22" s="59">
        <v>7</v>
      </c>
      <c r="C22" s="2"/>
      <c r="D22" s="29"/>
      <c r="E22" s="61"/>
      <c r="F22" s="61">
        <f t="shared" si="1"/>
        <v>0</v>
      </c>
    </row>
    <row r="23" spans="2:6">
      <c r="C23" s="4"/>
      <c r="D23" s="4"/>
      <c r="E23" s="64" t="s">
        <v>36</v>
      </c>
      <c r="F23" s="65">
        <f>SUM(F16:F22)</f>
        <v>0</v>
      </c>
    </row>
    <row r="25" spans="2:6">
      <c r="B25" s="4" t="s">
        <v>39</v>
      </c>
      <c r="C25" t="s">
        <v>40</v>
      </c>
    </row>
    <row r="26" spans="2:6">
      <c r="B26" s="63"/>
      <c r="C26" s="59" t="s">
        <v>1</v>
      </c>
      <c r="D26" s="59" t="s">
        <v>33</v>
      </c>
      <c r="E26" s="59" t="s">
        <v>34</v>
      </c>
      <c r="F26" s="59" t="s">
        <v>35</v>
      </c>
    </row>
    <row r="27" spans="2:6" ht="15" customHeight="1">
      <c r="B27" s="59">
        <v>1</v>
      </c>
      <c r="C27" s="2"/>
      <c r="D27" s="39"/>
      <c r="E27" s="39"/>
      <c r="F27" s="2"/>
    </row>
    <row r="28" spans="2:6">
      <c r="B28" s="59">
        <v>2</v>
      </c>
      <c r="C28" s="2"/>
      <c r="D28" s="39"/>
      <c r="E28" s="39"/>
      <c r="F28" s="2"/>
    </row>
    <row r="29" spans="2:6" ht="15" customHeight="1">
      <c r="B29" s="59">
        <v>3</v>
      </c>
      <c r="C29" s="2"/>
      <c r="D29" s="39"/>
      <c r="E29" s="39"/>
      <c r="F29" s="2"/>
    </row>
    <row r="30" spans="2:6">
      <c r="B30" s="59">
        <v>4</v>
      </c>
      <c r="C30" s="2"/>
      <c r="D30" s="39"/>
      <c r="E30" s="39"/>
      <c r="F30" s="2"/>
    </row>
    <row r="31" spans="2:6">
      <c r="B31" s="59">
        <v>5</v>
      </c>
      <c r="C31" s="2"/>
      <c r="D31" s="39"/>
      <c r="E31" s="39"/>
      <c r="F31" s="2"/>
    </row>
    <row r="32" spans="2:6">
      <c r="B32" s="59">
        <v>6</v>
      </c>
      <c r="C32" s="2"/>
      <c r="D32" s="39"/>
      <c r="E32" s="39"/>
      <c r="F32" s="2"/>
    </row>
    <row r="33" spans="3:6">
      <c r="C33" s="4"/>
      <c r="D33" s="4"/>
      <c r="E33" s="64" t="s">
        <v>36</v>
      </c>
      <c r="F33" s="65">
        <f>SUM(F27:F32)</f>
        <v>0</v>
      </c>
    </row>
    <row r="35" spans="3:6">
      <c r="C35" s="4"/>
      <c r="D35" s="4"/>
      <c r="E35" s="63" t="s">
        <v>41</v>
      </c>
      <c r="F35" s="62">
        <f>SUM(F12,F23,F33)</f>
        <v>0</v>
      </c>
    </row>
    <row r="38" spans="3:6">
      <c r="C38" s="4"/>
      <c r="D38" s="7"/>
    </row>
    <row r="39" spans="3:6">
      <c r="D39" s="6"/>
    </row>
    <row r="40" spans="3:6">
      <c r="D40" s="8"/>
    </row>
    <row r="43" spans="3:6" ht="15" customHeight="1">
      <c r="D43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58"/>
  <sheetViews>
    <sheetView topLeftCell="A28" zoomScale="115" zoomScaleNormal="115" workbookViewId="0">
      <selection activeCell="F55" sqref="F55"/>
    </sheetView>
  </sheetViews>
  <sheetFormatPr defaultRowHeight="15"/>
  <cols>
    <col min="1" max="1" width="3.85546875" customWidth="1"/>
    <col min="2" max="2" width="3.28515625" customWidth="1"/>
    <col min="3" max="3" width="18.85546875" customWidth="1"/>
    <col min="4" max="4" width="9" customWidth="1"/>
    <col min="5" max="5" width="19" customWidth="1"/>
    <col min="6" max="6" width="15.85546875" customWidth="1"/>
  </cols>
  <sheetData>
    <row r="2" spans="2:6">
      <c r="B2" t="s">
        <v>42</v>
      </c>
    </row>
    <row r="3" spans="2:6">
      <c r="B3" s="1" t="s">
        <v>43</v>
      </c>
    </row>
    <row r="4" spans="2:6">
      <c r="B4" s="63"/>
      <c r="C4" s="66" t="s">
        <v>1</v>
      </c>
      <c r="D4" s="67" t="s">
        <v>33</v>
      </c>
      <c r="E4" s="68" t="s">
        <v>34</v>
      </c>
      <c r="F4" s="68" t="s">
        <v>44</v>
      </c>
    </row>
    <row r="5" spans="2:6">
      <c r="B5" s="59">
        <v>1</v>
      </c>
      <c r="C5" s="2"/>
      <c r="D5" s="39"/>
      <c r="E5" s="61"/>
      <c r="F5" s="61">
        <f>D5*E5</f>
        <v>0</v>
      </c>
    </row>
    <row r="6" spans="2:6">
      <c r="B6" s="59">
        <v>2</v>
      </c>
      <c r="C6" s="2"/>
      <c r="D6" s="39"/>
      <c r="E6" s="61"/>
      <c r="F6" s="61">
        <f>D6*E6</f>
        <v>0</v>
      </c>
    </row>
    <row r="7" spans="2:6">
      <c r="B7" s="59">
        <v>3</v>
      </c>
      <c r="C7" s="2"/>
      <c r="D7" s="39"/>
      <c r="E7" s="61"/>
      <c r="F7" s="61">
        <f>D7*E7</f>
        <v>0</v>
      </c>
    </row>
    <row r="8" spans="2:6">
      <c r="B8" s="59">
        <v>4</v>
      </c>
      <c r="C8" s="2"/>
      <c r="D8" s="29"/>
      <c r="E8" s="61"/>
      <c r="F8" s="61">
        <f>D8*E8</f>
        <v>0</v>
      </c>
    </row>
    <row r="9" spans="2:6">
      <c r="E9" s="68" t="s">
        <v>35</v>
      </c>
      <c r="F9" s="69">
        <f>SUM(F5:F8)</f>
        <v>0</v>
      </c>
    </row>
    <row r="11" spans="2:6">
      <c r="B11" s="1" t="s">
        <v>45</v>
      </c>
    </row>
    <row r="12" spans="2:6">
      <c r="B12" t="s">
        <v>46</v>
      </c>
    </row>
    <row r="13" spans="2:6" ht="27" customHeight="1">
      <c r="B13" s="86" t="s">
        <v>47</v>
      </c>
      <c r="C13" s="86"/>
      <c r="D13" s="68" t="s">
        <v>48</v>
      </c>
      <c r="E13" s="68" t="s">
        <v>49</v>
      </c>
      <c r="F13" s="68" t="s">
        <v>50</v>
      </c>
    </row>
    <row r="14" spans="2:6">
      <c r="B14" s="94" t="s">
        <v>51</v>
      </c>
      <c r="C14" s="94"/>
      <c r="D14" s="72">
        <v>0.3</v>
      </c>
      <c r="E14" s="39">
        <v>0</v>
      </c>
      <c r="F14" s="39">
        <f>D14*E14</f>
        <v>0</v>
      </c>
    </row>
    <row r="15" spans="2:6">
      <c r="B15" s="94" t="s">
        <v>52</v>
      </c>
      <c r="C15" s="94"/>
      <c r="D15" s="72">
        <v>0.35</v>
      </c>
      <c r="E15" s="39">
        <v>0</v>
      </c>
      <c r="F15" s="39">
        <f t="shared" ref="F15:F17" si="0">D15*E15</f>
        <v>0</v>
      </c>
    </row>
    <row r="16" spans="2:6">
      <c r="B16" s="94" t="s">
        <v>53</v>
      </c>
      <c r="C16" s="94"/>
      <c r="D16" s="72">
        <v>0.35</v>
      </c>
      <c r="E16" s="39">
        <v>0</v>
      </c>
      <c r="F16" s="39">
        <f t="shared" si="0"/>
        <v>0</v>
      </c>
    </row>
    <row r="17" spans="2:6">
      <c r="B17" s="95" t="s">
        <v>54</v>
      </c>
      <c r="C17" s="96"/>
      <c r="D17" s="72">
        <v>0</v>
      </c>
      <c r="E17" s="39">
        <v>0</v>
      </c>
      <c r="F17" s="39">
        <f t="shared" si="0"/>
        <v>0</v>
      </c>
    </row>
    <row r="18" spans="2:6" ht="15" customHeight="1">
      <c r="E18" s="68" t="s">
        <v>55</v>
      </c>
      <c r="F18" s="68">
        <f>SUM(F14:F17)</f>
        <v>0</v>
      </c>
    </row>
    <row r="20" spans="2:6">
      <c r="B20" t="s">
        <v>56</v>
      </c>
    </row>
    <row r="21" spans="2:6" ht="30">
      <c r="B21" s="86" t="s">
        <v>47</v>
      </c>
      <c r="C21" s="86"/>
      <c r="D21" s="68" t="s">
        <v>48</v>
      </c>
      <c r="E21" s="68" t="s">
        <v>49</v>
      </c>
      <c r="F21" s="68" t="s">
        <v>50</v>
      </c>
    </row>
    <row r="22" spans="2:6">
      <c r="B22" s="94" t="s">
        <v>51</v>
      </c>
      <c r="C22" s="94"/>
      <c r="D22" s="72">
        <v>0.3</v>
      </c>
      <c r="E22" s="39">
        <v>0</v>
      </c>
      <c r="F22" s="39">
        <f>D22*E22</f>
        <v>0</v>
      </c>
    </row>
    <row r="23" spans="2:6">
      <c r="B23" s="94" t="s">
        <v>52</v>
      </c>
      <c r="C23" s="94"/>
      <c r="D23" s="72">
        <v>0.35</v>
      </c>
      <c r="E23" s="39">
        <v>0</v>
      </c>
      <c r="F23" s="39">
        <f>D23*E23</f>
        <v>0</v>
      </c>
    </row>
    <row r="24" spans="2:6">
      <c r="B24" s="94" t="s">
        <v>57</v>
      </c>
      <c r="C24" s="94"/>
      <c r="D24" s="72">
        <v>0.35</v>
      </c>
      <c r="E24" s="39">
        <v>0</v>
      </c>
      <c r="F24" s="39">
        <f>D24*E24</f>
        <v>0</v>
      </c>
    </row>
    <row r="25" spans="2:6">
      <c r="B25" s="94" t="s">
        <v>54</v>
      </c>
      <c r="C25" s="94"/>
      <c r="D25" s="72">
        <v>0</v>
      </c>
      <c r="E25" s="39">
        <v>0</v>
      </c>
      <c r="F25" s="39">
        <f>D25*E25</f>
        <v>0</v>
      </c>
    </row>
    <row r="26" spans="2:6" ht="15" customHeight="1">
      <c r="E26" s="68" t="s">
        <v>55</v>
      </c>
      <c r="F26" s="68">
        <f>SUM(F22:F25)</f>
        <v>0</v>
      </c>
    </row>
    <row r="28" spans="2:6">
      <c r="B28" t="s">
        <v>58</v>
      </c>
    </row>
    <row r="29" spans="2:6">
      <c r="F29" s="68" t="s">
        <v>59</v>
      </c>
    </row>
    <row r="30" spans="2:6">
      <c r="B30" s="95" t="s">
        <v>60</v>
      </c>
      <c r="C30" s="97"/>
      <c r="D30" s="97"/>
      <c r="E30" s="96"/>
      <c r="F30" s="39">
        <v>0</v>
      </c>
    </row>
    <row r="33" spans="2:7">
      <c r="B33" t="s">
        <v>61</v>
      </c>
    </row>
    <row r="34" spans="2:7">
      <c r="B34" s="83" t="s">
        <v>62</v>
      </c>
      <c r="C34" s="84"/>
      <c r="D34" s="84"/>
      <c r="E34" s="85"/>
      <c r="F34" s="68" t="s">
        <v>59</v>
      </c>
    </row>
    <row r="35" spans="2:7">
      <c r="B35" s="95" t="s">
        <v>63</v>
      </c>
      <c r="C35" s="97"/>
      <c r="D35" s="97"/>
      <c r="E35" s="96"/>
      <c r="F35" s="39">
        <f>F18</f>
        <v>0</v>
      </c>
    </row>
    <row r="36" spans="2:7">
      <c r="B36" s="95" t="s">
        <v>64</v>
      </c>
      <c r="C36" s="97"/>
      <c r="D36" s="97"/>
      <c r="E36" s="96"/>
      <c r="F36" s="39">
        <f>F30</f>
        <v>0</v>
      </c>
    </row>
    <row r="37" spans="2:7">
      <c r="B37" s="98" t="s">
        <v>65</v>
      </c>
      <c r="C37" s="99"/>
      <c r="D37" s="99"/>
      <c r="E37" s="100"/>
      <c r="F37" s="59">
        <f>SUM(F35:F36)</f>
        <v>0</v>
      </c>
    </row>
    <row r="39" spans="2:7">
      <c r="B39" s="83" t="s">
        <v>66</v>
      </c>
      <c r="C39" s="84"/>
      <c r="D39" s="84"/>
      <c r="E39" s="85"/>
      <c r="F39" s="68" t="s">
        <v>59</v>
      </c>
    </row>
    <row r="40" spans="2:7" ht="16.5" customHeight="1">
      <c r="B40" s="95" t="s">
        <v>67</v>
      </c>
      <c r="C40" s="97"/>
      <c r="D40" s="97"/>
      <c r="E40" s="96"/>
      <c r="F40" s="39">
        <f>F26</f>
        <v>0</v>
      </c>
    </row>
    <row r="41" spans="2:7">
      <c r="B41" s="98" t="s">
        <v>65</v>
      </c>
      <c r="C41" s="99"/>
      <c r="D41" s="99"/>
      <c r="E41" s="100"/>
      <c r="F41" s="59">
        <f>F40</f>
        <v>0</v>
      </c>
    </row>
    <row r="43" spans="2:7">
      <c r="B43" s="83" t="s">
        <v>68</v>
      </c>
      <c r="C43" s="84"/>
      <c r="D43" s="84"/>
      <c r="E43" s="85"/>
      <c r="F43" s="68">
        <f>F37-F41</f>
        <v>0</v>
      </c>
    </row>
    <row r="46" spans="2:7">
      <c r="B46" s="1" t="s">
        <v>45</v>
      </c>
    </row>
    <row r="47" spans="2:7">
      <c r="B47" s="95" t="s">
        <v>69</v>
      </c>
      <c r="C47" s="97"/>
      <c r="D47" s="97"/>
      <c r="E47" s="96"/>
      <c r="F47" s="60">
        <f>'5.11'!C21</f>
        <v>0</v>
      </c>
      <c r="G47" s="5"/>
    </row>
    <row r="48" spans="2:7">
      <c r="B48" s="95" t="s">
        <v>70</v>
      </c>
      <c r="C48" s="97"/>
      <c r="D48" s="97"/>
      <c r="E48" s="96"/>
      <c r="F48" s="74">
        <f>'5.12'!C9</f>
        <v>0</v>
      </c>
    </row>
    <row r="49" spans="2:6">
      <c r="B49" s="98" t="s">
        <v>71</v>
      </c>
      <c r="C49" s="99"/>
      <c r="D49" s="99"/>
      <c r="E49" s="100"/>
      <c r="F49" s="70">
        <f>SUM(F47:F48)</f>
        <v>0</v>
      </c>
    </row>
    <row r="50" spans="2:6">
      <c r="B50" s="95" t="s">
        <v>72</v>
      </c>
      <c r="C50" s="97"/>
      <c r="D50" s="97"/>
      <c r="E50" s="96"/>
      <c r="F50" s="73">
        <f>F49/30</f>
        <v>0</v>
      </c>
    </row>
    <row r="51" spans="2:6">
      <c r="B51" s="95" t="s">
        <v>73</v>
      </c>
      <c r="C51" s="97"/>
      <c r="D51" s="97"/>
      <c r="E51" s="96"/>
      <c r="F51" s="39">
        <f>F43</f>
        <v>0</v>
      </c>
    </row>
    <row r="52" spans="2:6">
      <c r="B52" s="83" t="s">
        <v>74</v>
      </c>
      <c r="C52" s="84"/>
      <c r="D52" s="84"/>
      <c r="E52" s="85"/>
      <c r="F52" s="71">
        <f>F50*F51</f>
        <v>0</v>
      </c>
    </row>
    <row r="55" spans="2:6">
      <c r="B55" s="83" t="s">
        <v>75</v>
      </c>
      <c r="C55" s="84"/>
      <c r="D55" s="84"/>
      <c r="E55" s="85"/>
      <c r="F55" s="71" t="s">
        <v>44</v>
      </c>
    </row>
    <row r="56" spans="2:6">
      <c r="B56" s="95" t="s">
        <v>76</v>
      </c>
      <c r="C56" s="97"/>
      <c r="D56" s="97"/>
      <c r="E56" s="96"/>
      <c r="F56" s="60">
        <f>F9</f>
        <v>0</v>
      </c>
    </row>
    <row r="57" spans="2:6">
      <c r="B57" s="95" t="s">
        <v>45</v>
      </c>
      <c r="C57" s="97"/>
      <c r="D57" s="97"/>
      <c r="E57" s="96"/>
      <c r="F57" s="60">
        <f>F52</f>
        <v>0</v>
      </c>
    </row>
    <row r="58" spans="2:6">
      <c r="B58" s="83" t="s">
        <v>77</v>
      </c>
      <c r="C58" s="84"/>
      <c r="D58" s="84"/>
      <c r="E58" s="85"/>
      <c r="F58" s="71">
        <f>SUM(F56:F57)</f>
        <v>0</v>
      </c>
    </row>
  </sheetData>
  <mergeCells count="29">
    <mergeCell ref="B17:C17"/>
    <mergeCell ref="B13:C13"/>
    <mergeCell ref="B14:C14"/>
    <mergeCell ref="B15:C15"/>
    <mergeCell ref="B16:C16"/>
    <mergeCell ref="B37:E37"/>
    <mergeCell ref="B21:C21"/>
    <mergeCell ref="B22:C22"/>
    <mergeCell ref="B23:C23"/>
    <mergeCell ref="B24:C24"/>
    <mergeCell ref="B25:C25"/>
    <mergeCell ref="B30:E30"/>
    <mergeCell ref="B34:E34"/>
    <mergeCell ref="B35:E35"/>
    <mergeCell ref="B36:E36"/>
    <mergeCell ref="B39:E39"/>
    <mergeCell ref="B40:E40"/>
    <mergeCell ref="B41:E41"/>
    <mergeCell ref="B43:E43"/>
    <mergeCell ref="B47:E47"/>
    <mergeCell ref="B55:E55"/>
    <mergeCell ref="B56:E56"/>
    <mergeCell ref="B57:E57"/>
    <mergeCell ref="B58:E58"/>
    <mergeCell ref="B48:E48"/>
    <mergeCell ref="B49:E49"/>
    <mergeCell ref="B50:E50"/>
    <mergeCell ref="B51:E51"/>
    <mergeCell ref="B52:E5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9"/>
  <sheetViews>
    <sheetView zoomScale="190" zoomScaleNormal="190" workbookViewId="0">
      <selection activeCell="C6" sqref="C6"/>
    </sheetView>
  </sheetViews>
  <sheetFormatPr defaultRowHeight="15"/>
  <cols>
    <col min="1" max="1" width="3.85546875" customWidth="1"/>
    <col min="2" max="2" width="29" customWidth="1"/>
    <col min="3" max="3" width="13.85546875" customWidth="1"/>
  </cols>
  <sheetData>
    <row r="2" spans="2:3">
      <c r="B2" t="s">
        <v>78</v>
      </c>
    </row>
    <row r="3" spans="2:3">
      <c r="B3" s="67" t="s">
        <v>79</v>
      </c>
      <c r="C3" s="67" t="s">
        <v>80</v>
      </c>
    </row>
    <row r="4" spans="2:3">
      <c r="B4" s="2" t="s">
        <v>81</v>
      </c>
      <c r="C4" s="61">
        <v>0</v>
      </c>
    </row>
    <row r="5" spans="2:3">
      <c r="B5" s="2" t="s">
        <v>82</v>
      </c>
      <c r="C5" s="61">
        <v>0</v>
      </c>
    </row>
    <row r="6" spans="2:3">
      <c r="B6" s="2" t="s">
        <v>83</v>
      </c>
      <c r="C6" s="61">
        <v>0</v>
      </c>
    </row>
    <row r="7" spans="2:3">
      <c r="B7" s="2" t="s">
        <v>84</v>
      </c>
      <c r="C7" s="61">
        <v>0</v>
      </c>
    </row>
    <row r="8" spans="2:3">
      <c r="B8" s="2" t="s">
        <v>85</v>
      </c>
      <c r="C8" s="61">
        <v>0</v>
      </c>
    </row>
    <row r="9" spans="2:3">
      <c r="B9" s="67" t="s">
        <v>35</v>
      </c>
      <c r="C9" s="75">
        <f>SUM(C4:C8)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3"/>
  <sheetViews>
    <sheetView zoomScale="190" zoomScaleNormal="190" workbookViewId="0">
      <selection activeCell="C13" sqref="C13"/>
    </sheetView>
  </sheetViews>
  <sheetFormatPr defaultRowHeight="15"/>
  <cols>
    <col min="1" max="1" width="7.7109375" customWidth="1"/>
    <col min="2" max="2" width="32.85546875" customWidth="1"/>
    <col min="3" max="3" width="17.42578125" customWidth="1"/>
    <col min="4" max="4" width="9.7109375" customWidth="1"/>
  </cols>
  <sheetData>
    <row r="2" spans="2:4">
      <c r="B2" t="s">
        <v>86</v>
      </c>
    </row>
    <row r="3" spans="2:4">
      <c r="B3" s="59" t="s">
        <v>87</v>
      </c>
      <c r="C3" s="59" t="s">
        <v>88</v>
      </c>
      <c r="D3" s="59" t="s">
        <v>48</v>
      </c>
    </row>
    <row r="4" spans="2:4">
      <c r="B4" s="2" t="s">
        <v>89</v>
      </c>
      <c r="C4" s="3">
        <f>'5.1'!F35</f>
        <v>0</v>
      </c>
      <c r="D4" s="9">
        <f>IFERROR(C4/$C$7,0)</f>
        <v>0</v>
      </c>
    </row>
    <row r="5" spans="2:4">
      <c r="B5" s="2" t="s">
        <v>90</v>
      </c>
      <c r="C5" s="3">
        <f>'5.2'!F58</f>
        <v>0</v>
      </c>
      <c r="D5" s="9">
        <f t="shared" ref="D5:D6" si="0">IFERROR(C5/$C$7,0)</f>
        <v>0</v>
      </c>
    </row>
    <row r="6" spans="2:4">
      <c r="B6" s="2" t="s">
        <v>91</v>
      </c>
      <c r="C6" s="3">
        <f>'5.3'!C9</f>
        <v>0</v>
      </c>
      <c r="D6" s="9">
        <f t="shared" si="0"/>
        <v>0</v>
      </c>
    </row>
    <row r="7" spans="2:4">
      <c r="B7" s="63" t="s">
        <v>35</v>
      </c>
      <c r="C7" s="76">
        <f>SUM(C4:C6)</f>
        <v>0</v>
      </c>
      <c r="D7" s="77">
        <v>1</v>
      </c>
    </row>
    <row r="9" spans="2:4">
      <c r="B9" s="59" t="s">
        <v>92</v>
      </c>
      <c r="C9" s="59" t="s">
        <v>88</v>
      </c>
      <c r="D9" s="59" t="s">
        <v>48</v>
      </c>
    </row>
    <row r="10" spans="2:4">
      <c r="B10" s="2" t="s">
        <v>93</v>
      </c>
      <c r="C10" s="3">
        <v>0</v>
      </c>
      <c r="D10" s="9">
        <f>IFERROR(C10/$C$7,0)</f>
        <v>0</v>
      </c>
    </row>
    <row r="11" spans="2:4">
      <c r="B11" s="2" t="s">
        <v>94</v>
      </c>
      <c r="C11" s="3">
        <v>0</v>
      </c>
      <c r="D11" s="9">
        <f t="shared" ref="D11:D13" si="1">IFERROR(C11/$C$7,0)</f>
        <v>0</v>
      </c>
    </row>
    <row r="12" spans="2:4">
      <c r="B12" s="2" t="s">
        <v>95</v>
      </c>
      <c r="C12" s="3">
        <v>0</v>
      </c>
      <c r="D12" s="9">
        <f t="shared" si="1"/>
        <v>0</v>
      </c>
    </row>
    <row r="13" spans="2:4">
      <c r="B13" s="63" t="s">
        <v>96</v>
      </c>
      <c r="C13" s="76">
        <f>SUM(C10:C12)</f>
        <v>0</v>
      </c>
      <c r="D13" s="77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1"/>
  <sheetViews>
    <sheetView zoomScale="160" zoomScaleNormal="160" workbookViewId="0">
      <selection activeCell="F4" sqref="F4"/>
    </sheetView>
  </sheetViews>
  <sheetFormatPr defaultRowHeight="15"/>
  <cols>
    <col min="2" max="2" width="3.7109375" customWidth="1"/>
    <col min="3" max="3" width="22.28515625" customWidth="1"/>
    <col min="4" max="4" width="12.85546875" bestFit="1" customWidth="1"/>
    <col min="5" max="5" width="14.5703125" customWidth="1"/>
    <col min="6" max="6" width="14" customWidth="1"/>
  </cols>
  <sheetData>
    <row r="2" spans="2:6">
      <c r="B2" t="s">
        <v>97</v>
      </c>
    </row>
    <row r="3" spans="2:6" ht="30">
      <c r="B3" s="11"/>
      <c r="C3" s="12" t="s">
        <v>1</v>
      </c>
      <c r="D3" s="12" t="s">
        <v>98</v>
      </c>
      <c r="E3" s="13" t="s">
        <v>34</v>
      </c>
      <c r="F3" s="13" t="s">
        <v>44</v>
      </c>
    </row>
    <row r="4" spans="2:6">
      <c r="B4" s="12">
        <v>1</v>
      </c>
      <c r="C4" s="14"/>
      <c r="D4" s="16"/>
      <c r="E4" s="22"/>
      <c r="F4" s="22">
        <f>D4*E4</f>
        <v>0</v>
      </c>
    </row>
    <row r="5" spans="2:6">
      <c r="B5" s="12">
        <v>2</v>
      </c>
      <c r="C5" s="14"/>
      <c r="D5" s="16"/>
      <c r="E5" s="22"/>
      <c r="F5" s="22">
        <f t="shared" ref="F5:F10" si="0">D5*E5</f>
        <v>0</v>
      </c>
    </row>
    <row r="6" spans="2:6">
      <c r="B6" s="12">
        <v>3</v>
      </c>
      <c r="C6" s="14"/>
      <c r="D6" s="16"/>
      <c r="E6" s="22"/>
      <c r="F6" s="22">
        <f t="shared" si="0"/>
        <v>0</v>
      </c>
    </row>
    <row r="7" spans="2:6">
      <c r="B7" s="12">
        <v>4</v>
      </c>
      <c r="C7" s="14"/>
      <c r="D7" s="16"/>
      <c r="E7" s="22"/>
      <c r="F7" s="22">
        <f t="shared" si="0"/>
        <v>0</v>
      </c>
    </row>
    <row r="8" spans="2:6">
      <c r="B8" s="12">
        <v>5</v>
      </c>
      <c r="C8" s="14"/>
      <c r="D8" s="16"/>
      <c r="E8" s="22"/>
      <c r="F8" s="22">
        <f t="shared" si="0"/>
        <v>0</v>
      </c>
    </row>
    <row r="9" spans="2:6">
      <c r="B9" s="12">
        <v>6</v>
      </c>
      <c r="C9" s="14"/>
      <c r="D9" s="16"/>
      <c r="E9" s="22"/>
      <c r="F9" s="22">
        <f t="shared" si="0"/>
        <v>0</v>
      </c>
    </row>
    <row r="10" spans="2:6">
      <c r="B10" s="12">
        <v>7</v>
      </c>
      <c r="C10" s="14"/>
      <c r="D10" s="16"/>
      <c r="E10" s="22"/>
      <c r="F10" s="22">
        <f t="shared" si="0"/>
        <v>0</v>
      </c>
    </row>
    <row r="11" spans="2:6">
      <c r="B11" s="10"/>
      <c r="C11" s="10"/>
      <c r="D11" s="10"/>
      <c r="E11" s="12" t="s">
        <v>35</v>
      </c>
      <c r="F11" s="46">
        <f>SUM(F4:F10)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2"/>
  <sheetViews>
    <sheetView zoomScale="160" zoomScaleNormal="160" workbookViewId="0">
      <selection activeCell="F22" sqref="F22"/>
    </sheetView>
  </sheetViews>
  <sheetFormatPr defaultRowHeight="15"/>
  <cols>
    <col min="2" max="2" width="4.28515625" customWidth="1"/>
    <col min="3" max="3" width="18.5703125" bestFit="1" customWidth="1"/>
    <col min="4" max="4" width="8.85546875" bestFit="1" customWidth="1"/>
    <col min="5" max="6" width="14" customWidth="1"/>
  </cols>
  <sheetData>
    <row r="2" spans="1:6">
      <c r="A2" s="18"/>
      <c r="B2" s="18" t="s">
        <v>99</v>
      </c>
      <c r="C2" s="18"/>
      <c r="D2" s="18"/>
      <c r="E2" s="18"/>
      <c r="F2" s="18"/>
    </row>
    <row r="3" spans="1:6">
      <c r="A3" s="18"/>
      <c r="B3" s="18" t="s">
        <v>100</v>
      </c>
      <c r="C3" s="18"/>
      <c r="D3" s="18"/>
      <c r="E3" s="18"/>
      <c r="F3" s="18"/>
    </row>
    <row r="4" spans="1:6">
      <c r="A4" s="18"/>
      <c r="B4" s="21"/>
      <c r="C4" s="12" t="s">
        <v>101</v>
      </c>
      <c r="D4" s="13" t="s">
        <v>102</v>
      </c>
      <c r="E4" s="13" t="s">
        <v>34</v>
      </c>
      <c r="F4" s="13" t="s">
        <v>44</v>
      </c>
    </row>
    <row r="5" spans="1:6">
      <c r="A5" s="18"/>
      <c r="B5" s="12">
        <v>1</v>
      </c>
      <c r="C5" s="14"/>
      <c r="D5" s="15"/>
      <c r="E5" s="22"/>
      <c r="F5" s="22">
        <f>D5*E5</f>
        <v>0</v>
      </c>
    </row>
    <row r="6" spans="1:6">
      <c r="A6" s="18"/>
      <c r="B6" s="12">
        <v>2</v>
      </c>
      <c r="C6" s="14"/>
      <c r="D6" s="15"/>
      <c r="E6" s="22"/>
      <c r="F6" s="22">
        <f t="shared" ref="F6:F10" si="0">D6*E6</f>
        <v>0</v>
      </c>
    </row>
    <row r="7" spans="1:6">
      <c r="A7" s="18"/>
      <c r="B7" s="12">
        <v>3</v>
      </c>
      <c r="C7" s="14"/>
      <c r="D7" s="15"/>
      <c r="E7" s="22"/>
      <c r="F7" s="22">
        <f t="shared" si="0"/>
        <v>0</v>
      </c>
    </row>
    <row r="8" spans="1:6">
      <c r="A8" s="18"/>
      <c r="B8" s="12">
        <v>4</v>
      </c>
      <c r="C8" s="14"/>
      <c r="D8" s="15"/>
      <c r="E8" s="22"/>
      <c r="F8" s="22">
        <f t="shared" si="0"/>
        <v>0</v>
      </c>
    </row>
    <row r="9" spans="1:6">
      <c r="A9" s="18"/>
      <c r="B9" s="12">
        <v>5</v>
      </c>
      <c r="C9" s="14"/>
      <c r="D9" s="15"/>
      <c r="E9" s="22"/>
      <c r="F9" s="22">
        <f t="shared" si="0"/>
        <v>0</v>
      </c>
    </row>
    <row r="10" spans="1:6">
      <c r="A10" s="18"/>
      <c r="B10" s="12">
        <v>6</v>
      </c>
      <c r="C10" s="14"/>
      <c r="D10" s="15"/>
      <c r="E10" s="22"/>
      <c r="F10" s="22">
        <f t="shared" si="0"/>
        <v>0</v>
      </c>
    </row>
    <row r="11" spans="1:6">
      <c r="A11" s="18"/>
      <c r="B11" s="19"/>
      <c r="C11" s="19"/>
      <c r="D11" s="20"/>
      <c r="E11" s="12" t="s">
        <v>103</v>
      </c>
      <c r="F11" s="45">
        <f>SUM(F5:F10)</f>
        <v>0</v>
      </c>
    </row>
    <row r="14" spans="1:6">
      <c r="B14" s="18" t="s">
        <v>104</v>
      </c>
      <c r="C14" s="18"/>
      <c r="D14" s="18"/>
      <c r="E14" s="18"/>
      <c r="F14" s="18"/>
    </row>
    <row r="15" spans="1:6">
      <c r="B15" s="21"/>
      <c r="C15" s="12" t="s">
        <v>101</v>
      </c>
      <c r="D15" s="13" t="s">
        <v>102</v>
      </c>
      <c r="E15" s="13" t="s">
        <v>34</v>
      </c>
      <c r="F15" s="13" t="s">
        <v>44</v>
      </c>
    </row>
    <row r="16" spans="1:6">
      <c r="B16" s="12">
        <v>1</v>
      </c>
      <c r="C16" s="14"/>
      <c r="D16" s="15"/>
      <c r="E16" s="22"/>
      <c r="F16" s="22">
        <f>D16*E16</f>
        <v>0</v>
      </c>
    </row>
    <row r="17" spans="2:6">
      <c r="B17" s="12">
        <v>2</v>
      </c>
      <c r="C17" s="14"/>
      <c r="D17" s="15"/>
      <c r="E17" s="22"/>
      <c r="F17" s="22">
        <f t="shared" ref="F17:F21" si="1">D17*E17</f>
        <v>0</v>
      </c>
    </row>
    <row r="18" spans="2:6">
      <c r="B18" s="12">
        <v>3</v>
      </c>
      <c r="C18" s="14"/>
      <c r="D18" s="15"/>
      <c r="E18" s="22"/>
      <c r="F18" s="22">
        <f t="shared" si="1"/>
        <v>0</v>
      </c>
    </row>
    <row r="19" spans="2:6">
      <c r="B19" s="12">
        <v>4</v>
      </c>
      <c r="C19" s="14"/>
      <c r="D19" s="15"/>
      <c r="E19" s="22"/>
      <c r="F19" s="22">
        <f t="shared" si="1"/>
        <v>0</v>
      </c>
    </row>
    <row r="20" spans="2:6">
      <c r="B20" s="12">
        <v>5</v>
      </c>
      <c r="C20" s="14"/>
      <c r="D20" s="15"/>
      <c r="E20" s="22"/>
      <c r="F20" s="22">
        <f t="shared" si="1"/>
        <v>0</v>
      </c>
    </row>
    <row r="21" spans="2:6">
      <c r="B21" s="12">
        <v>6</v>
      </c>
      <c r="C21" s="14"/>
      <c r="D21" s="15"/>
      <c r="E21" s="22"/>
      <c r="F21" s="22">
        <f t="shared" si="1"/>
        <v>0</v>
      </c>
    </row>
    <row r="22" spans="2:6">
      <c r="B22" s="19"/>
      <c r="C22" s="19"/>
      <c r="D22" s="20"/>
      <c r="E22" s="12" t="s">
        <v>103</v>
      </c>
      <c r="F22" s="45">
        <f>SUM(F16:F21)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21"/>
  <sheetViews>
    <sheetView zoomScale="130" zoomScaleNormal="130" workbookViewId="0">
      <selection activeCell="E22" sqref="E22"/>
    </sheetView>
  </sheetViews>
  <sheetFormatPr defaultRowHeight="15"/>
  <cols>
    <col min="2" max="2" width="42.5703125" customWidth="1"/>
    <col min="4" max="4" width="21" customWidth="1"/>
    <col min="5" max="5" width="18.28515625" customWidth="1"/>
    <col min="8" max="9" width="9.85546875" customWidth="1"/>
    <col min="10" max="10" width="22.140625" bestFit="1" customWidth="1"/>
    <col min="11" max="11" width="29.140625" bestFit="1" customWidth="1"/>
  </cols>
  <sheetData>
    <row r="2" spans="2:11">
      <c r="B2" t="s">
        <v>105</v>
      </c>
    </row>
    <row r="3" spans="2:11">
      <c r="B3" s="23" t="s">
        <v>1</v>
      </c>
      <c r="C3" s="23" t="s">
        <v>106</v>
      </c>
      <c r="D3" s="23" t="s">
        <v>107</v>
      </c>
      <c r="E3" s="23" t="s">
        <v>108</v>
      </c>
      <c r="H3" s="90" t="s">
        <v>109</v>
      </c>
      <c r="I3" s="91"/>
      <c r="J3" s="91"/>
      <c r="K3" s="92"/>
    </row>
    <row r="4" spans="2:11">
      <c r="B4" s="89" t="s">
        <v>110</v>
      </c>
      <c r="C4" s="89"/>
      <c r="D4" s="89"/>
      <c r="E4" s="89"/>
      <c r="H4" s="30" t="s">
        <v>111</v>
      </c>
      <c r="I4" s="30" t="s">
        <v>112</v>
      </c>
      <c r="J4" s="30" t="s">
        <v>113</v>
      </c>
      <c r="K4" s="30" t="s">
        <v>114</v>
      </c>
    </row>
    <row r="5" spans="2:11">
      <c r="B5" s="87" t="s">
        <v>115</v>
      </c>
      <c r="C5" s="87"/>
      <c r="D5" s="87"/>
      <c r="E5" s="87"/>
      <c r="H5" s="78" t="s">
        <v>116</v>
      </c>
      <c r="I5" s="33">
        <v>0.04</v>
      </c>
      <c r="J5" s="32">
        <v>0</v>
      </c>
      <c r="K5" s="78" t="s">
        <v>117</v>
      </c>
    </row>
    <row r="6" spans="2:11">
      <c r="B6" s="25" t="s">
        <v>118</v>
      </c>
      <c r="C6" s="26"/>
      <c r="D6" s="79">
        <f>'5.5'!F11</f>
        <v>0</v>
      </c>
      <c r="E6" s="34"/>
      <c r="H6" s="78" t="s">
        <v>119</v>
      </c>
      <c r="I6" s="33">
        <v>7.2999999999999995E-2</v>
      </c>
      <c r="J6" s="32">
        <v>5940</v>
      </c>
      <c r="K6" s="78" t="s">
        <v>120</v>
      </c>
    </row>
    <row r="7" spans="2:11">
      <c r="B7" s="25" t="s">
        <v>121</v>
      </c>
      <c r="C7" s="28"/>
      <c r="D7" s="29"/>
      <c r="E7" s="29"/>
      <c r="H7" s="78" t="s">
        <v>122</v>
      </c>
      <c r="I7" s="33">
        <v>9.5000000000000001E-2</v>
      </c>
      <c r="J7" s="32">
        <v>13860</v>
      </c>
      <c r="K7" s="78" t="s">
        <v>123</v>
      </c>
    </row>
    <row r="8" spans="2:11">
      <c r="B8" s="25" t="s">
        <v>124</v>
      </c>
      <c r="C8" s="26"/>
      <c r="D8" s="29"/>
      <c r="E8" s="29"/>
      <c r="H8" s="78" t="s">
        <v>125</v>
      </c>
      <c r="I8" s="33">
        <v>0.107</v>
      </c>
      <c r="J8" s="32">
        <v>22500</v>
      </c>
      <c r="K8" s="78" t="s">
        <v>126</v>
      </c>
    </row>
    <row r="9" spans="2:11">
      <c r="B9" s="25" t="s">
        <v>127</v>
      </c>
      <c r="C9" s="28"/>
      <c r="D9" s="29"/>
      <c r="E9" s="29"/>
      <c r="H9" s="78" t="s">
        <v>128</v>
      </c>
      <c r="I9" s="33">
        <v>0.14299999999999999</v>
      </c>
      <c r="J9" s="32">
        <v>87300</v>
      </c>
      <c r="K9" s="78" t="s">
        <v>129</v>
      </c>
    </row>
    <row r="10" spans="2:11">
      <c r="B10" s="25" t="s">
        <v>130</v>
      </c>
      <c r="C10" s="28"/>
      <c r="D10" s="29"/>
      <c r="E10" s="29"/>
      <c r="H10" s="78" t="s">
        <v>131</v>
      </c>
      <c r="I10" s="33">
        <v>0.19</v>
      </c>
      <c r="J10" s="32">
        <v>378000</v>
      </c>
      <c r="K10" s="78" t="s">
        <v>132</v>
      </c>
    </row>
    <row r="11" spans="2:11">
      <c r="B11" s="87" t="s">
        <v>133</v>
      </c>
      <c r="C11" s="87"/>
      <c r="D11" s="87"/>
      <c r="E11" s="87"/>
    </row>
    <row r="12" spans="2:11">
      <c r="B12" s="25" t="s">
        <v>134</v>
      </c>
      <c r="C12" s="29"/>
      <c r="D12" s="29"/>
      <c r="E12" s="29"/>
    </row>
    <row r="13" spans="2:11">
      <c r="B13" s="87" t="s">
        <v>135</v>
      </c>
      <c r="C13" s="87"/>
      <c r="D13" s="87"/>
      <c r="E13" s="87"/>
    </row>
    <row r="14" spans="2:11">
      <c r="B14" s="25" t="s">
        <v>136</v>
      </c>
      <c r="C14" s="29"/>
      <c r="D14" s="29"/>
      <c r="E14" s="29"/>
    </row>
    <row r="15" spans="2:11">
      <c r="B15" s="88" t="s">
        <v>137</v>
      </c>
      <c r="C15" s="88"/>
      <c r="D15" s="88"/>
      <c r="E15" s="35">
        <f>SUM(E6:E10,E12,E14)</f>
        <v>0</v>
      </c>
    </row>
    <row r="16" spans="2:11">
      <c r="B16" s="89" t="s">
        <v>138</v>
      </c>
      <c r="C16" s="89"/>
      <c r="D16" s="89"/>
      <c r="E16" s="89"/>
    </row>
    <row r="17" spans="2:5">
      <c r="B17" s="25" t="s">
        <v>139</v>
      </c>
      <c r="C17" s="29"/>
      <c r="D17" s="29"/>
      <c r="E17" s="29"/>
    </row>
    <row r="18" spans="2:5">
      <c r="B18" s="25" t="s">
        <v>140</v>
      </c>
      <c r="C18" s="29"/>
      <c r="D18" s="29"/>
      <c r="E18" s="29"/>
    </row>
    <row r="19" spans="2:5">
      <c r="B19" s="25" t="s">
        <v>141</v>
      </c>
      <c r="C19" s="28">
        <v>0.05</v>
      </c>
      <c r="D19" s="27">
        <f>'5.5'!F11*SUM('5.2'!D23:D24)</f>
        <v>0</v>
      </c>
      <c r="E19" s="34">
        <f>C19*D19</f>
        <v>0</v>
      </c>
    </row>
    <row r="20" spans="2:5">
      <c r="B20" s="88" t="s">
        <v>142</v>
      </c>
      <c r="C20" s="88"/>
      <c r="D20" s="88"/>
      <c r="E20" s="35">
        <f>SUM(E17:E19)</f>
        <v>0</v>
      </c>
    </row>
    <row r="21" spans="2:5">
      <c r="B21" s="24" t="s">
        <v>143</v>
      </c>
      <c r="C21" s="31"/>
      <c r="D21" s="31"/>
      <c r="E21" s="36">
        <f>SUM(E15,E20)</f>
        <v>0</v>
      </c>
    </row>
  </sheetData>
  <mergeCells count="8">
    <mergeCell ref="B13:E13"/>
    <mergeCell ref="B15:D15"/>
    <mergeCell ref="B16:E16"/>
    <mergeCell ref="B20:D20"/>
    <mergeCell ref="H3:K3"/>
    <mergeCell ref="B4:E4"/>
    <mergeCell ref="B5:E5"/>
    <mergeCell ref="B11:E1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11"/>
  <sheetViews>
    <sheetView zoomScale="190" zoomScaleNormal="190" workbookViewId="0">
      <selection activeCell="E6" sqref="E6"/>
    </sheetView>
  </sheetViews>
  <sheetFormatPr defaultRowHeight="15"/>
  <cols>
    <col min="1" max="1" width="3.7109375" customWidth="1"/>
    <col min="2" max="2" width="4" customWidth="1"/>
    <col min="3" max="3" width="17.42578125" bestFit="1" customWidth="1"/>
    <col min="4" max="4" width="24.5703125" bestFit="1" customWidth="1"/>
    <col min="5" max="5" width="14.140625" customWidth="1"/>
    <col min="6" max="6" width="14" customWidth="1"/>
  </cols>
  <sheetData>
    <row r="2" spans="2:6">
      <c r="B2" t="s">
        <v>144</v>
      </c>
    </row>
    <row r="3" spans="2:6">
      <c r="B3" s="38"/>
      <c r="C3" s="38" t="s">
        <v>145</v>
      </c>
      <c r="D3" s="38" t="s">
        <v>146</v>
      </c>
      <c r="E3" s="38" t="s">
        <v>147</v>
      </c>
      <c r="F3" s="38" t="s">
        <v>148</v>
      </c>
    </row>
    <row r="4" spans="2:6">
      <c r="B4" s="12">
        <v>1</v>
      </c>
      <c r="C4" s="14"/>
      <c r="D4" s="16"/>
      <c r="E4" s="22">
        <f>'5.6'!F11</f>
        <v>0</v>
      </c>
      <c r="F4" s="22">
        <f>D4*E4</f>
        <v>0</v>
      </c>
    </row>
    <row r="5" spans="2:6">
      <c r="B5" s="12">
        <v>2</v>
      </c>
      <c r="C5" s="14"/>
      <c r="D5" s="16"/>
      <c r="E5" s="22">
        <f>'5.6'!F22</f>
        <v>0</v>
      </c>
      <c r="F5" s="22">
        <f t="shared" ref="F5:F10" si="0">D5*E5</f>
        <v>0</v>
      </c>
    </row>
    <row r="6" spans="2:6">
      <c r="B6" s="12">
        <v>3</v>
      </c>
      <c r="C6" s="14"/>
      <c r="D6" s="16"/>
      <c r="E6" s="22"/>
      <c r="F6" s="22">
        <f t="shared" si="0"/>
        <v>0</v>
      </c>
    </row>
    <row r="7" spans="2:6">
      <c r="B7" s="12">
        <v>4</v>
      </c>
      <c r="C7" s="14"/>
      <c r="D7" s="16"/>
      <c r="E7" s="22"/>
      <c r="F7" s="22">
        <f t="shared" si="0"/>
        <v>0</v>
      </c>
    </row>
    <row r="8" spans="2:6">
      <c r="B8" s="12">
        <v>5</v>
      </c>
      <c r="C8" s="14"/>
      <c r="D8" s="16"/>
      <c r="E8" s="22"/>
      <c r="F8" s="22">
        <f t="shared" si="0"/>
        <v>0</v>
      </c>
    </row>
    <row r="9" spans="2:6">
      <c r="B9" s="12">
        <v>6</v>
      </c>
      <c r="C9" s="14"/>
      <c r="D9" s="16"/>
      <c r="E9" s="22"/>
      <c r="F9" s="22">
        <f t="shared" si="0"/>
        <v>0</v>
      </c>
    </row>
    <row r="10" spans="2:6">
      <c r="B10" s="12">
        <v>7</v>
      </c>
      <c r="C10" s="14"/>
      <c r="D10" s="16"/>
      <c r="E10" s="22"/>
      <c r="F10" s="22">
        <f t="shared" si="0"/>
        <v>0</v>
      </c>
    </row>
    <row r="11" spans="2:6">
      <c r="E11" s="46" t="s">
        <v>103</v>
      </c>
      <c r="F11" s="46">
        <f>SUM(F4:F10)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14"/>
  <sheetViews>
    <sheetView zoomScale="175" zoomScaleNormal="175" workbookViewId="0">
      <selection activeCell="B3" sqref="B3:B13"/>
    </sheetView>
  </sheetViews>
  <sheetFormatPr defaultRowHeight="15"/>
  <cols>
    <col min="2" max="2" width="4.28515625" customWidth="1"/>
    <col min="3" max="3" width="18.7109375" customWidth="1"/>
    <col min="4" max="4" width="13.140625" customWidth="1"/>
    <col min="5" max="5" width="12.28515625" customWidth="1"/>
    <col min="6" max="7" width="12.140625" customWidth="1"/>
    <col min="8" max="8" width="16.85546875" customWidth="1"/>
  </cols>
  <sheetData>
    <row r="2" spans="2:8">
      <c r="B2" t="s">
        <v>149</v>
      </c>
    </row>
    <row r="3" spans="2:8" ht="30">
      <c r="B3" s="38"/>
      <c r="C3" s="37" t="s">
        <v>150</v>
      </c>
      <c r="D3" s="37" t="s">
        <v>151</v>
      </c>
      <c r="E3" s="37" t="s">
        <v>152</v>
      </c>
      <c r="F3" s="37" t="s">
        <v>153</v>
      </c>
      <c r="G3" s="37" t="s">
        <v>154</v>
      </c>
      <c r="H3" s="37" t="s">
        <v>155</v>
      </c>
    </row>
    <row r="4" spans="2:8">
      <c r="B4" s="12">
        <v>1</v>
      </c>
      <c r="C4" s="16"/>
      <c r="D4" s="16"/>
      <c r="E4" s="22"/>
      <c r="F4" s="41">
        <v>0.79</v>
      </c>
      <c r="G4" s="22">
        <f>E4*F4</f>
        <v>0</v>
      </c>
      <c r="H4" s="22">
        <f>E4+G4</f>
        <v>0</v>
      </c>
    </row>
    <row r="5" spans="2:8">
      <c r="B5" s="12">
        <v>2</v>
      </c>
      <c r="C5" s="16"/>
      <c r="D5" s="16"/>
      <c r="E5" s="22"/>
      <c r="F5" s="41"/>
      <c r="G5" s="22">
        <f t="shared" ref="G5:G13" si="0">E5*F5</f>
        <v>0</v>
      </c>
      <c r="H5" s="22">
        <f t="shared" ref="H5:H13" si="1">E5+G5</f>
        <v>0</v>
      </c>
    </row>
    <row r="6" spans="2:8">
      <c r="B6" s="12">
        <v>3</v>
      </c>
      <c r="C6" s="16"/>
      <c r="D6" s="16"/>
      <c r="E6" s="22"/>
      <c r="F6" s="41"/>
      <c r="G6" s="22">
        <f t="shared" si="0"/>
        <v>0</v>
      </c>
      <c r="H6" s="22">
        <f t="shared" si="1"/>
        <v>0</v>
      </c>
    </row>
    <row r="7" spans="2:8">
      <c r="B7" s="12">
        <v>4</v>
      </c>
      <c r="C7" s="16"/>
      <c r="D7" s="16"/>
      <c r="E7" s="22"/>
      <c r="F7" s="16"/>
      <c r="G7" s="22">
        <f t="shared" si="0"/>
        <v>0</v>
      </c>
      <c r="H7" s="22">
        <f t="shared" si="1"/>
        <v>0</v>
      </c>
    </row>
    <row r="8" spans="2:8">
      <c r="B8" s="12">
        <v>5</v>
      </c>
      <c r="C8" s="16"/>
      <c r="D8" s="16"/>
      <c r="E8" s="22"/>
      <c r="F8" s="16"/>
      <c r="G8" s="22">
        <f t="shared" si="0"/>
        <v>0</v>
      </c>
      <c r="H8" s="22">
        <f t="shared" si="1"/>
        <v>0</v>
      </c>
    </row>
    <row r="9" spans="2:8">
      <c r="B9" s="12">
        <v>6</v>
      </c>
      <c r="C9" s="16"/>
      <c r="D9" s="16"/>
      <c r="E9" s="22"/>
      <c r="F9" s="16"/>
      <c r="G9" s="22">
        <f t="shared" si="0"/>
        <v>0</v>
      </c>
      <c r="H9" s="22">
        <f t="shared" si="1"/>
        <v>0</v>
      </c>
    </row>
    <row r="10" spans="2:8">
      <c r="B10" s="12">
        <v>7</v>
      </c>
      <c r="C10" s="16"/>
      <c r="D10" s="16"/>
      <c r="E10" s="22"/>
      <c r="F10" s="16"/>
      <c r="G10" s="22">
        <f t="shared" si="0"/>
        <v>0</v>
      </c>
      <c r="H10" s="22">
        <f t="shared" si="1"/>
        <v>0</v>
      </c>
    </row>
    <row r="11" spans="2:8">
      <c r="B11" s="12">
        <v>8</v>
      </c>
      <c r="C11" s="16"/>
      <c r="D11" s="16"/>
      <c r="E11" s="22"/>
      <c r="F11" s="16"/>
      <c r="G11" s="22">
        <f t="shared" si="0"/>
        <v>0</v>
      </c>
      <c r="H11" s="22">
        <f t="shared" si="1"/>
        <v>0</v>
      </c>
    </row>
    <row r="12" spans="2:8">
      <c r="B12" s="12">
        <v>9</v>
      </c>
      <c r="C12" s="16"/>
      <c r="D12" s="16"/>
      <c r="E12" s="22"/>
      <c r="F12" s="16"/>
      <c r="G12" s="22">
        <f t="shared" si="0"/>
        <v>0</v>
      </c>
      <c r="H12" s="22">
        <f t="shared" si="1"/>
        <v>0</v>
      </c>
    </row>
    <row r="13" spans="2:8">
      <c r="B13" s="12">
        <v>10</v>
      </c>
      <c r="C13" s="16"/>
      <c r="D13" s="16"/>
      <c r="E13" s="22"/>
      <c r="F13" s="16"/>
      <c r="G13" s="22">
        <f t="shared" si="0"/>
        <v>0</v>
      </c>
      <c r="H13" s="22">
        <f t="shared" si="1"/>
        <v>0</v>
      </c>
    </row>
    <row r="14" spans="2:8">
      <c r="G14" s="42" t="s">
        <v>35</v>
      </c>
      <c r="H14" s="46">
        <f>SUMPRODUCT(D4:D13,H4:H13)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17"/>
  <sheetViews>
    <sheetView zoomScale="160" zoomScaleNormal="160" workbookViewId="0">
      <selection activeCell="D17" sqref="D17"/>
    </sheetView>
  </sheetViews>
  <sheetFormatPr defaultRowHeight="15"/>
  <cols>
    <col min="2" max="2" width="4.42578125" customWidth="1"/>
    <col min="3" max="3" width="25.28515625" customWidth="1"/>
    <col min="4" max="4" width="8.85546875" customWidth="1"/>
    <col min="5" max="7" width="12.7109375" customWidth="1"/>
  </cols>
  <sheetData>
    <row r="2" spans="2:7">
      <c r="B2" t="s">
        <v>156</v>
      </c>
    </row>
    <row r="3" spans="2:7" ht="29.25" customHeight="1">
      <c r="B3" s="38"/>
      <c r="C3" s="44" t="s">
        <v>1</v>
      </c>
      <c r="D3" s="44" t="s">
        <v>157</v>
      </c>
      <c r="E3" s="44" t="s">
        <v>44</v>
      </c>
      <c r="F3" s="44" t="s">
        <v>158</v>
      </c>
      <c r="G3" s="44" t="s">
        <v>159</v>
      </c>
    </row>
    <row r="4" spans="2:7">
      <c r="B4" s="12">
        <v>1</v>
      </c>
      <c r="C4" s="43"/>
      <c r="D4" s="16">
        <v>10</v>
      </c>
      <c r="E4" s="22"/>
      <c r="F4" s="22">
        <f>E4/D4</f>
        <v>0</v>
      </c>
      <c r="G4" s="22">
        <f>F4/12</f>
        <v>0</v>
      </c>
    </row>
    <row r="5" spans="2:7">
      <c r="B5" s="12">
        <v>2</v>
      </c>
      <c r="C5" s="43"/>
      <c r="D5" s="16">
        <v>10</v>
      </c>
      <c r="E5" s="22"/>
      <c r="F5" s="22">
        <f t="shared" ref="F5:F16" si="0">E5/D5</f>
        <v>0</v>
      </c>
      <c r="G5" s="22">
        <f t="shared" ref="G5:G16" si="1">F5/12</f>
        <v>0</v>
      </c>
    </row>
    <row r="6" spans="2:7">
      <c r="B6" s="12">
        <v>3</v>
      </c>
      <c r="C6" s="43"/>
      <c r="D6" s="16">
        <v>10</v>
      </c>
      <c r="E6" s="22"/>
      <c r="F6" s="22">
        <f t="shared" si="0"/>
        <v>0</v>
      </c>
      <c r="G6" s="22">
        <f t="shared" si="1"/>
        <v>0</v>
      </c>
    </row>
    <row r="7" spans="2:7">
      <c r="B7" s="12">
        <v>4</v>
      </c>
      <c r="C7" s="43"/>
      <c r="D7" s="16">
        <v>10</v>
      </c>
      <c r="E7" s="22"/>
      <c r="F7" s="22">
        <f t="shared" si="0"/>
        <v>0</v>
      </c>
      <c r="G7" s="22">
        <f t="shared" si="1"/>
        <v>0</v>
      </c>
    </row>
    <row r="8" spans="2:7">
      <c r="B8" s="12">
        <v>5</v>
      </c>
      <c r="C8" s="43"/>
      <c r="D8" s="16">
        <v>3</v>
      </c>
      <c r="E8" s="22"/>
      <c r="F8" s="22">
        <f t="shared" si="0"/>
        <v>0</v>
      </c>
      <c r="G8" s="22">
        <f t="shared" si="1"/>
        <v>0</v>
      </c>
    </row>
    <row r="9" spans="2:7">
      <c r="B9" s="12">
        <v>6</v>
      </c>
      <c r="C9" s="43"/>
      <c r="D9" s="16">
        <v>3</v>
      </c>
      <c r="E9" s="22"/>
      <c r="F9" s="22">
        <f t="shared" si="0"/>
        <v>0</v>
      </c>
      <c r="G9" s="22">
        <f t="shared" si="1"/>
        <v>0</v>
      </c>
    </row>
    <row r="10" spans="2:7">
      <c r="B10" s="12">
        <v>7</v>
      </c>
      <c r="C10" s="43"/>
      <c r="D10" s="16">
        <v>5</v>
      </c>
      <c r="E10" s="22"/>
      <c r="F10" s="22">
        <f t="shared" si="0"/>
        <v>0</v>
      </c>
      <c r="G10" s="22">
        <f t="shared" si="1"/>
        <v>0</v>
      </c>
    </row>
    <row r="11" spans="2:7">
      <c r="B11" s="12">
        <v>8</v>
      </c>
      <c r="C11" s="43"/>
      <c r="D11" s="16">
        <v>5</v>
      </c>
      <c r="E11" s="22"/>
      <c r="F11" s="22">
        <f t="shared" si="0"/>
        <v>0</v>
      </c>
      <c r="G11" s="22">
        <f t="shared" si="1"/>
        <v>0</v>
      </c>
    </row>
    <row r="12" spans="2:7">
      <c r="B12" s="12">
        <v>9</v>
      </c>
      <c r="C12" s="43"/>
      <c r="D12" s="16">
        <v>5</v>
      </c>
      <c r="E12" s="22"/>
      <c r="F12" s="22">
        <f t="shared" si="0"/>
        <v>0</v>
      </c>
      <c r="G12" s="22">
        <f t="shared" si="1"/>
        <v>0</v>
      </c>
    </row>
    <row r="13" spans="2:7">
      <c r="B13" s="12">
        <v>10</v>
      </c>
      <c r="C13" s="43"/>
      <c r="D13" s="16">
        <v>5</v>
      </c>
      <c r="E13" s="22"/>
      <c r="F13" s="22">
        <f t="shared" si="0"/>
        <v>0</v>
      </c>
      <c r="G13" s="22">
        <f t="shared" si="1"/>
        <v>0</v>
      </c>
    </row>
    <row r="14" spans="2:7">
      <c r="B14" s="12">
        <v>11</v>
      </c>
      <c r="C14" s="43"/>
      <c r="D14" s="16">
        <v>5</v>
      </c>
      <c r="E14" s="22"/>
      <c r="F14" s="22">
        <f t="shared" si="0"/>
        <v>0</v>
      </c>
      <c r="G14" s="22">
        <f t="shared" si="1"/>
        <v>0</v>
      </c>
    </row>
    <row r="15" spans="2:7">
      <c r="B15" s="12">
        <v>12</v>
      </c>
      <c r="C15" s="43"/>
      <c r="D15" s="16">
        <v>5</v>
      </c>
      <c r="E15" s="22"/>
      <c r="F15" s="22">
        <f t="shared" si="0"/>
        <v>0</v>
      </c>
      <c r="G15" s="22">
        <f t="shared" si="1"/>
        <v>0</v>
      </c>
    </row>
    <row r="16" spans="2:7">
      <c r="B16" s="12">
        <v>13</v>
      </c>
      <c r="C16" s="43"/>
      <c r="D16" s="16">
        <v>5</v>
      </c>
      <c r="E16" s="22"/>
      <c r="F16" s="22">
        <f t="shared" si="0"/>
        <v>0</v>
      </c>
      <c r="G16" s="22">
        <f t="shared" si="1"/>
        <v>0</v>
      </c>
    </row>
    <row r="17" spans="5:7">
      <c r="E17" s="12" t="s">
        <v>160</v>
      </c>
      <c r="F17" s="45">
        <f>SUM(F4:F16)</f>
        <v>0</v>
      </c>
      <c r="G17" s="45">
        <f>SUM(G4:G16)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21"/>
  <sheetViews>
    <sheetView zoomScale="160" zoomScaleNormal="160" workbookViewId="0">
      <selection activeCell="C22" sqref="C22"/>
    </sheetView>
  </sheetViews>
  <sheetFormatPr defaultRowHeight="15"/>
  <cols>
    <col min="2" max="2" width="30.140625" customWidth="1"/>
    <col min="3" max="3" width="21.85546875" customWidth="1"/>
  </cols>
  <sheetData>
    <row r="2" spans="2:4">
      <c r="B2" t="s">
        <v>161</v>
      </c>
    </row>
    <row r="3" spans="2:4">
      <c r="B3" s="12" t="s">
        <v>1</v>
      </c>
      <c r="C3" s="12" t="s">
        <v>162</v>
      </c>
    </row>
    <row r="4" spans="2:4">
      <c r="B4" s="14" t="s">
        <v>163</v>
      </c>
      <c r="C4" s="22"/>
    </row>
    <row r="5" spans="2:4">
      <c r="B5" s="14" t="s">
        <v>164</v>
      </c>
      <c r="C5" s="22"/>
    </row>
    <row r="6" spans="2:4">
      <c r="B6" s="14" t="s">
        <v>165</v>
      </c>
      <c r="C6" s="22"/>
    </row>
    <row r="7" spans="2:4">
      <c r="B7" s="14" t="s">
        <v>166</v>
      </c>
      <c r="C7" s="22"/>
    </row>
    <row r="8" spans="2:4">
      <c r="B8" s="14" t="s">
        <v>167</v>
      </c>
      <c r="C8" s="22"/>
    </row>
    <row r="9" spans="2:4">
      <c r="B9" s="14" t="s">
        <v>168</v>
      </c>
      <c r="C9" s="22"/>
    </row>
    <row r="10" spans="2:4">
      <c r="B10" s="14" t="s">
        <v>169</v>
      </c>
      <c r="C10" s="22"/>
    </row>
    <row r="11" spans="2:4">
      <c r="B11" s="14" t="s">
        <v>170</v>
      </c>
      <c r="C11" s="22"/>
      <c r="D11" t="s">
        <v>171</v>
      </c>
    </row>
    <row r="12" spans="2:4">
      <c r="B12" s="14" t="s">
        <v>172</v>
      </c>
      <c r="C12" s="22"/>
    </row>
    <row r="13" spans="2:4">
      <c r="B13" s="14" t="s">
        <v>173</v>
      </c>
      <c r="C13" s="22">
        <f>'5.9'!H14</f>
        <v>0</v>
      </c>
    </row>
    <row r="14" spans="2:4">
      <c r="B14" s="14" t="s">
        <v>174</v>
      </c>
      <c r="C14" s="22"/>
    </row>
    <row r="15" spans="2:4">
      <c r="B15" s="14" t="s">
        <v>175</v>
      </c>
      <c r="C15" s="22"/>
    </row>
    <row r="16" spans="2:4">
      <c r="B16" s="14" t="s">
        <v>176</v>
      </c>
      <c r="C16" s="22"/>
    </row>
    <row r="17" spans="2:3">
      <c r="B17" s="14" t="s">
        <v>177</v>
      </c>
      <c r="C17" s="22"/>
    </row>
    <row r="18" spans="2:3">
      <c r="B18" s="14" t="s">
        <v>178</v>
      </c>
      <c r="C18" s="22"/>
    </row>
    <row r="19" spans="2:3">
      <c r="B19" s="14" t="s">
        <v>179</v>
      </c>
      <c r="C19" s="22">
        <f>'5.10'!G17</f>
        <v>0</v>
      </c>
    </row>
    <row r="20" spans="2:3">
      <c r="B20" s="14" t="s">
        <v>180</v>
      </c>
      <c r="C20" s="22"/>
    </row>
    <row r="21" spans="2:3">
      <c r="B21" s="12" t="s">
        <v>35</v>
      </c>
      <c r="C21" s="46">
        <f>SUM(C4:C20)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D12"/>
  <sheetViews>
    <sheetView zoomScale="175" zoomScaleNormal="175" workbookViewId="0">
      <selection activeCell="C1" sqref="C1"/>
    </sheetView>
  </sheetViews>
  <sheetFormatPr defaultRowHeight="15"/>
  <cols>
    <col min="2" max="2" width="32" customWidth="1"/>
    <col min="3" max="3" width="16.7109375" customWidth="1"/>
    <col min="4" max="4" width="6.42578125" customWidth="1"/>
    <col min="5" max="5" width="6.5703125" customWidth="1"/>
  </cols>
  <sheetData>
    <row r="2" spans="2:4">
      <c r="B2" t="s">
        <v>181</v>
      </c>
    </row>
    <row r="3" spans="2:4">
      <c r="B3" s="12" t="s">
        <v>1</v>
      </c>
      <c r="C3" s="12" t="s">
        <v>182</v>
      </c>
      <c r="D3" s="12" t="s">
        <v>106</v>
      </c>
    </row>
    <row r="4" spans="2:4">
      <c r="B4" s="52" t="s">
        <v>183</v>
      </c>
      <c r="C4" s="80">
        <f>'5.5'!F11</f>
        <v>0</v>
      </c>
      <c r="D4" s="56">
        <v>1</v>
      </c>
    </row>
    <row r="5" spans="2:4">
      <c r="B5" s="14" t="s">
        <v>184</v>
      </c>
      <c r="C5" s="22"/>
      <c r="D5" s="16"/>
    </row>
    <row r="6" spans="2:4">
      <c r="B6" s="55" t="s">
        <v>185</v>
      </c>
      <c r="C6" s="22">
        <f>'5.8'!F11</f>
        <v>0</v>
      </c>
      <c r="D6" s="51">
        <f>IFERROR(C6/$C$9,0)</f>
        <v>0</v>
      </c>
    </row>
    <row r="7" spans="2:4">
      <c r="B7" s="55" t="s">
        <v>186</v>
      </c>
      <c r="C7" s="22">
        <f>'5.7'!E15</f>
        <v>0</v>
      </c>
      <c r="D7" s="51">
        <f>IFERROR(C7/$C$9,0)</f>
        <v>0</v>
      </c>
    </row>
    <row r="8" spans="2:4">
      <c r="B8" s="55" t="s">
        <v>187</v>
      </c>
      <c r="C8" s="22">
        <f>'5.7'!E20</f>
        <v>0</v>
      </c>
      <c r="D8" s="51">
        <f>IFERROR(C8/$C$9,0)</f>
        <v>0</v>
      </c>
    </row>
    <row r="9" spans="2:4">
      <c r="B9" s="52" t="s">
        <v>188</v>
      </c>
      <c r="C9" s="80">
        <f>SUM(C6:C8)</f>
        <v>0</v>
      </c>
      <c r="D9" s="54">
        <v>1</v>
      </c>
    </row>
    <row r="10" spans="2:4">
      <c r="B10" s="47" t="s">
        <v>189</v>
      </c>
      <c r="C10" s="81">
        <f>C4-C9</f>
        <v>0</v>
      </c>
      <c r="D10" s="49"/>
    </row>
    <row r="11" spans="2:4">
      <c r="B11" s="55" t="s">
        <v>190</v>
      </c>
      <c r="C11" s="22">
        <f>'5.11'!C21</f>
        <v>0</v>
      </c>
      <c r="D11" s="16"/>
    </row>
    <row r="12" spans="2:4">
      <c r="B12" s="47" t="s">
        <v>191</v>
      </c>
      <c r="C12" s="81">
        <f>C10-C11</f>
        <v>0</v>
      </c>
      <c r="D12" s="57">
        <f>IFERROR(C12/C10,0)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G35"/>
  <sheetViews>
    <sheetView showGridLines="0" zoomScale="145" zoomScaleNormal="145" workbookViewId="0">
      <selection activeCell="G35" sqref="G35"/>
    </sheetView>
  </sheetViews>
  <sheetFormatPr defaultRowHeight="15"/>
  <cols>
    <col min="1" max="2" width="5.85546875" customWidth="1"/>
    <col min="3" max="3" width="6" customWidth="1"/>
    <col min="4" max="4" width="12.7109375" customWidth="1"/>
    <col min="5" max="5" width="13.28515625" bestFit="1" customWidth="1"/>
  </cols>
  <sheetData>
    <row r="2" spans="2:5">
      <c r="B2" s="1" t="s">
        <v>192</v>
      </c>
    </row>
    <row r="4" spans="2:5">
      <c r="C4" s="1" t="s">
        <v>193</v>
      </c>
    </row>
    <row r="11" spans="2:5">
      <c r="D11" t="s">
        <v>194</v>
      </c>
      <c r="E11" s="58">
        <f>IFERROR('5.12'!C10/'5.12'!C4,0)</f>
        <v>0</v>
      </c>
    </row>
    <row r="12" spans="2:5">
      <c r="D12" t="s">
        <v>195</v>
      </c>
      <c r="E12" s="6">
        <f>IFERROR('5.12'!C11/E11,0)</f>
        <v>0</v>
      </c>
    </row>
    <row r="13" spans="2:5">
      <c r="D13" s="1" t="str">
        <f>"Para atingir o ponto de equilíbrio será necessário gerar R$ "&amp;TEXT(E12,"0.000,00")&amp;" em receita mensal."</f>
        <v>Para atingir o ponto de equilíbrio será necessário gerar R$ 0.000,00 em receita mensal.</v>
      </c>
    </row>
    <row r="15" spans="2:5">
      <c r="C15" s="1" t="s">
        <v>196</v>
      </c>
    </row>
    <row r="19" spans="3:5">
      <c r="D19" t="s">
        <v>197</v>
      </c>
      <c r="E19" s="58">
        <f>IFERROR('5.12'!C12/'5.12'!C4,0)</f>
        <v>0</v>
      </c>
    </row>
    <row r="20" spans="3:5">
      <c r="D20" s="1" t="str">
        <f>"A lucratividade é de "&amp;TEXT(E19,"0,00%")&amp;" ao mês"</f>
        <v>A lucratividade é de 0,00% ao mês</v>
      </c>
    </row>
    <row r="22" spans="3:5">
      <c r="C22" s="1" t="s">
        <v>198</v>
      </c>
    </row>
    <row r="26" spans="3:5">
      <c r="D26" t="s">
        <v>199</v>
      </c>
      <c r="E26">
        <f>IFERROR('5.12'!C12/'5.4'!C7,0)</f>
        <v>0</v>
      </c>
    </row>
    <row r="27" spans="3:5">
      <c r="D27" s="1" t="str">
        <f>"A rentabilidade é de "&amp;TEXT(E26,"0,00%")&amp;" ao mês e de "&amp;TEXT(E26*12,"00,00%")&amp;" ao ano"</f>
        <v>A rentabilidade é de 0,00% ao mês e de 00,00% ao ano</v>
      </c>
    </row>
    <row r="29" spans="3:5">
      <c r="C29" s="1" t="s">
        <v>200</v>
      </c>
    </row>
    <row r="34" spans="4:7">
      <c r="D34" t="s">
        <v>201</v>
      </c>
      <c r="G34">
        <f>IFERROR('5.4'!C7/'5.12'!C12,0)</f>
        <v>0</v>
      </c>
    </row>
    <row r="35" spans="4:7">
      <c r="D35" s="1" t="str">
        <f>"O prazo de retorno do investimento é de "&amp;TEXT(G34,"0,00")&amp;" meses ou de "&amp;TEXT(G34/12,"0,00")&amp;" anos"</f>
        <v>O prazo de retorno do investimento é de 0,00 meses ou de 0,00 anos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H13"/>
  <sheetViews>
    <sheetView zoomScale="160" zoomScaleNormal="160" workbookViewId="0">
      <selection activeCell="B10" sqref="B10"/>
    </sheetView>
  </sheetViews>
  <sheetFormatPr defaultRowHeight="15"/>
  <cols>
    <col min="2" max="2" width="31.42578125" bestFit="1" customWidth="1"/>
    <col min="3" max="3" width="14" customWidth="1"/>
    <col min="4" max="4" width="5.42578125" customWidth="1"/>
    <col min="5" max="5" width="14" customWidth="1"/>
    <col min="6" max="6" width="5.42578125" customWidth="1"/>
    <col min="7" max="7" width="14" customWidth="1"/>
    <col min="8" max="8" width="5.42578125" customWidth="1"/>
  </cols>
  <sheetData>
    <row r="2" spans="2:8">
      <c r="B2" t="s">
        <v>202</v>
      </c>
    </row>
    <row r="3" spans="2:8">
      <c r="C3" s="93" t="s">
        <v>203</v>
      </c>
      <c r="D3" s="93"/>
      <c r="E3" s="93" t="s">
        <v>204</v>
      </c>
      <c r="F3" s="93"/>
      <c r="G3" s="93" t="s">
        <v>205</v>
      </c>
      <c r="H3" s="93"/>
    </row>
    <row r="4" spans="2:8">
      <c r="B4" s="12" t="s">
        <v>1</v>
      </c>
      <c r="C4" s="12" t="s">
        <v>182</v>
      </c>
      <c r="D4" s="12" t="s">
        <v>106</v>
      </c>
      <c r="E4" s="12" t="s">
        <v>182</v>
      </c>
      <c r="F4" s="12" t="s">
        <v>106</v>
      </c>
      <c r="G4" s="12" t="s">
        <v>182</v>
      </c>
      <c r="H4" s="12" t="s">
        <v>106</v>
      </c>
    </row>
    <row r="5" spans="2:8">
      <c r="B5" s="52" t="s">
        <v>183</v>
      </c>
      <c r="C5" s="80">
        <f>'5.12'!C4</f>
        <v>0</v>
      </c>
      <c r="D5" s="54">
        <f>'5.12'!D4</f>
        <v>1</v>
      </c>
      <c r="E5" s="53"/>
      <c r="F5" s="56"/>
      <c r="G5" s="53"/>
      <c r="H5" s="56"/>
    </row>
    <row r="6" spans="2:8">
      <c r="B6" s="14" t="s">
        <v>184</v>
      </c>
      <c r="C6" s="22"/>
      <c r="D6" s="51"/>
      <c r="E6" s="16"/>
      <c r="F6" s="16"/>
      <c r="G6" s="16"/>
      <c r="H6" s="16"/>
    </row>
    <row r="7" spans="2:8">
      <c r="B7" s="55" t="s">
        <v>185</v>
      </c>
      <c r="C7" s="22">
        <f>'5.12'!C6</f>
        <v>0</v>
      </c>
      <c r="D7" s="51">
        <f>'5.12'!D6</f>
        <v>0</v>
      </c>
      <c r="E7" s="17"/>
      <c r="F7" s="51"/>
      <c r="G7" s="17"/>
      <c r="H7" s="51"/>
    </row>
    <row r="8" spans="2:8">
      <c r="B8" s="55" t="s">
        <v>186</v>
      </c>
      <c r="C8" s="22">
        <f>'5.12'!C7</f>
        <v>0</v>
      </c>
      <c r="D8" s="51">
        <f>'5.12'!D7</f>
        <v>0</v>
      </c>
      <c r="E8" s="50"/>
      <c r="F8" s="51"/>
      <c r="G8" s="50"/>
      <c r="H8" s="51"/>
    </row>
    <row r="9" spans="2:8">
      <c r="B9" s="55" t="s">
        <v>187</v>
      </c>
      <c r="C9" s="22">
        <f>'5.12'!C8</f>
        <v>0</v>
      </c>
      <c r="D9" s="51">
        <f>'5.12'!D8</f>
        <v>0</v>
      </c>
      <c r="E9" s="50"/>
      <c r="F9" s="51"/>
      <c r="G9" s="50"/>
      <c r="H9" s="51"/>
    </row>
    <row r="10" spans="2:8">
      <c r="B10" s="52" t="s">
        <v>188</v>
      </c>
      <c r="C10" s="80">
        <f>'5.12'!C9</f>
        <v>0</v>
      </c>
      <c r="D10" s="54">
        <f>'5.12'!D9</f>
        <v>1</v>
      </c>
      <c r="E10" s="53"/>
      <c r="F10" s="54"/>
      <c r="G10" s="53"/>
      <c r="H10" s="54"/>
    </row>
    <row r="11" spans="2:8">
      <c r="B11" s="47" t="s">
        <v>189</v>
      </c>
      <c r="C11" s="81">
        <f>'5.12'!C10</f>
        <v>0</v>
      </c>
      <c r="D11" s="82">
        <f>'5.12'!D10</f>
        <v>0</v>
      </c>
      <c r="E11" s="48"/>
      <c r="F11" s="49"/>
      <c r="G11" s="48"/>
      <c r="H11" s="49"/>
    </row>
    <row r="12" spans="2:8">
      <c r="B12" s="55" t="s">
        <v>190</v>
      </c>
      <c r="C12" s="22">
        <f>'5.12'!C11</f>
        <v>0</v>
      </c>
      <c r="D12" s="51">
        <f>'5.12'!D11</f>
        <v>0</v>
      </c>
      <c r="E12" s="50"/>
      <c r="F12" s="16"/>
      <c r="G12" s="50"/>
      <c r="H12" s="16"/>
    </row>
    <row r="13" spans="2:8">
      <c r="B13" s="47" t="s">
        <v>191</v>
      </c>
      <c r="C13" s="81">
        <f>'5.12'!C12</f>
        <v>0</v>
      </c>
      <c r="D13" s="82">
        <f>'5.12'!D12</f>
        <v>0</v>
      </c>
      <c r="E13" s="48"/>
      <c r="F13" s="57"/>
      <c r="G13" s="48"/>
      <c r="H13" s="57"/>
    </row>
  </sheetData>
  <mergeCells count="3">
    <mergeCell ref="C3:D3"/>
    <mergeCell ref="E3:F3"/>
    <mergeCell ref="G3:H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E028F3077A924A91D10E4687D7D34F" ma:contentTypeVersion="8" ma:contentTypeDescription="Crie um novo documento." ma:contentTypeScope="" ma:versionID="a4fd6d84f3e42f29974e04f4de877994">
  <xsd:schema xmlns:xsd="http://www.w3.org/2001/XMLSchema" xmlns:xs="http://www.w3.org/2001/XMLSchema" xmlns:p="http://schemas.microsoft.com/office/2006/metadata/properties" xmlns:ns2="a9c99abe-766b-4047-a7b8-ec3fa8478375" targetNamespace="http://schemas.microsoft.com/office/2006/metadata/properties" ma:root="true" ma:fieldsID="1cff5b81dbce63e7772eaec86c81729a" ns2:_="">
    <xsd:import namespace="a9c99abe-766b-4047-a7b8-ec3fa8478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9abe-766b-4047-a7b8-ec3fa8478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B7742-52A4-4438-8401-8A5AE04DA0A5}"/>
</file>

<file path=customXml/itemProps2.xml><?xml version="1.0" encoding="utf-8"?>
<ds:datastoreItem xmlns:ds="http://schemas.openxmlformats.org/officeDocument/2006/customXml" ds:itemID="{BBC7B1EF-72A7-4B69-BDB3-1E72F3BCAD82}"/>
</file>

<file path=customXml/itemProps3.xml><?xml version="1.0" encoding="utf-8"?>
<ds:datastoreItem xmlns:ds="http://schemas.openxmlformats.org/officeDocument/2006/customXml" ds:itemID="{1629B61F-75B5-4551-A3A5-6E5E993E27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SESI-SENAI-SP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Professor</dc:creator>
  <cp:keywords/>
  <dc:description/>
  <cp:lastModifiedBy/>
  <cp:revision/>
  <dcterms:created xsi:type="dcterms:W3CDTF">2020-08-24T22:47:41Z</dcterms:created>
  <dcterms:modified xsi:type="dcterms:W3CDTF">2026-06-24T18:11:05Z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0x010100A1E028F3077A924A91D10E4687D7D34F</vt:lpwstr>
  </property>
</Properties>
</file>